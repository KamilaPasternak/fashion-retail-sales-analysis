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st\Desktop\projekt - Retail Fashion\excel\"/>
    </mc:Choice>
  </mc:AlternateContent>
  <xr:revisionPtr revIDLastSave="0" documentId="13_ncr:1_{8051A0CA-8A49-4564-8CCD-74392C339DC3}" xr6:coauthVersionLast="47" xr6:coauthVersionMax="47" xr10:uidLastSave="{00000000-0000-0000-0000-000000000000}"/>
  <bookViews>
    <workbookView xWindow="-108" yWindow="-108" windowWidth="23256" windowHeight="12456" xr2:uid="{1DE00967-C1DB-4AFD-A3DA-8F1FABD061EA}"/>
  </bookViews>
  <sheets>
    <sheet name="revenue" sheetId="1" r:id="rId1"/>
    <sheet name="countries" sheetId="6" r:id="rId2"/>
    <sheet name="countries_by_years" sheetId="5" r:id="rId3"/>
    <sheet name="quantity_by_country" sheetId="7" r:id="rId4"/>
    <sheet name="seasonality" sheetId="2" r:id="rId5"/>
    <sheet name="seasonality analysis" sheetId="4" r:id="rId6"/>
  </sheets>
  <definedNames>
    <definedName name="_xlchart.v1.0" hidden="1">quantity_by_country!$A$2:$A$11</definedName>
    <definedName name="_xlchart.v1.1" hidden="1">quantity_by_country!$B$1</definedName>
    <definedName name="_xlchart.v1.2" hidden="1">quantity_by_country!$B$2:$B$11</definedName>
  </definedNames>
  <calcPr calcId="191029"/>
  <pivotCaches>
    <pivotCache cacheId="6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E11" i="1"/>
  <c r="C11" i="1"/>
  <c r="G10" i="1"/>
  <c r="E10" i="1"/>
  <c r="C10" i="1"/>
  <c r="G9" i="1"/>
  <c r="E9" i="1"/>
  <c r="C9" i="1"/>
  <c r="G8" i="1"/>
  <c r="E8" i="1"/>
  <c r="C8" i="1"/>
  <c r="G7" i="1"/>
  <c r="E7" i="1"/>
  <c r="C7" i="1"/>
  <c r="G6" i="1"/>
  <c r="E6" i="1"/>
  <c r="C6" i="1"/>
  <c r="G5" i="1"/>
  <c r="E5" i="1"/>
  <c r="C5" i="1"/>
  <c r="G4" i="1"/>
  <c r="E4" i="1"/>
  <c r="C4" i="1"/>
  <c r="G3" i="1"/>
  <c r="E3" i="1"/>
  <c r="C3" i="1"/>
  <c r="D2" i="2"/>
  <c r="D3" i="2"/>
  <c r="D4" i="2"/>
  <c r="D5" i="2"/>
  <c r="D6" i="2"/>
  <c r="D7" i="2"/>
  <c r="D8" i="2"/>
  <c r="D9" i="2"/>
  <c r="D10" i="2"/>
  <c r="D11" i="2"/>
  <c r="D12" i="2"/>
  <c r="D1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</calcChain>
</file>

<file path=xl/sharedStrings.xml><?xml version="1.0" encoding="utf-8"?>
<sst xmlns="http://schemas.openxmlformats.org/spreadsheetml/2006/main" count="297" uniqueCount="161">
  <si>
    <t>year</t>
  </si>
  <si>
    <t>revenue</t>
  </si>
  <si>
    <t>YoY</t>
  </si>
  <si>
    <t>total_quantity</t>
  </si>
  <si>
    <t>YoY_quantity</t>
  </si>
  <si>
    <t>avg_price</t>
  </si>
  <si>
    <t>YoY_avg_price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</si>
  <si>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</si>
  <si>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</si>
  <si>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</si>
  <si>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</si>
  <si>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</si>
  <si>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</si>
  <si>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</si>
  <si>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</si>
  <si>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</si>
  <si>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</si>
  <si>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</si>
  <si>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</si>
  <si>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</si>
  <si>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</si>
  <si>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</si>
  <si>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</si>
  <si>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</si>
  <si>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</si>
  <si>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</si>
  <si>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</si>
  <si>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</si>
  <si>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</si>
  <si>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</si>
  <si>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</si>
  <si>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</si>
  <si>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</si>
  <si>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</si>
  <si>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</si>
  <si>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</si>
  <si>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</si>
  <si>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</si>
  <si>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</si>
  <si>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</si>
  <si>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</si>
  <si>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</si>
  <si>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</si>
  <si>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</si>
  <si>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</si>
  <si>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</si>
  <si>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</si>
  <si>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</si>
  <si>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</si>
  <si>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</si>
  <si>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</si>
  <si>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</si>
  <si>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</si>
  <si>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</si>
  <si>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</si>
  <si>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</si>
  <si>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</si>
  <si>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</si>
  <si>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</si>
  <si>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</si>
  <si>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</si>
  <si>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</si>
  <si>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</si>
  <si>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</si>
  <si>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</si>
  <si>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</si>
  <si>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</si>
  <si>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</si>
  <si>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</si>
  <si>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</si>
  <si>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</si>
  <si>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</si>
  <si>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</si>
  <si>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</si>
  <si>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</si>
  <si>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</si>
  <si>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</si>
  <si>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</si>
  <si>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</si>
  <si>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</si>
  <si>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</si>
  <si>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</si>
  <si>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</si>
  <si>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</si>
  <si>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</si>
  <si>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</si>
  <si>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</si>
  <si>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</si>
  <si>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</si>
  <si>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</si>
  <si>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</si>
  <si>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</si>
  <si>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</si>
  <si>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</si>
  <si>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</si>
  <si>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</si>
  <si>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</si>
  <si>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</si>
  <si>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</si>
  <si>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</si>
  <si>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</si>
  <si>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</si>
  <si>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</si>
  <si>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</si>
  <si>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</si>
  <si>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</si>
  <si>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</si>
  <si>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</si>
  <si>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</si>
  <si>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</si>
  <si>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</si>
  <si>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</si>
  <si>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</si>
  <si>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</si>
  <si>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</si>
  <si>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</si>
  <si>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</si>
  <si>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</si>
  <si>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</si>
  <si>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</si>
  <si>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</si>
  <si>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</si>
  <si>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</si>
  <si>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</si>
  <si>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</si>
  <si>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</si>
  <si>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</si>
  <si>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month</t>
  </si>
  <si>
    <t>month_name</t>
  </si>
  <si>
    <t>Row Labels</t>
  </si>
  <si>
    <t>Grand Total</t>
  </si>
  <si>
    <t>Mar</t>
  </si>
  <si>
    <t>Apr</t>
  </si>
  <si>
    <t>Aug</t>
  </si>
  <si>
    <t>Dec</t>
  </si>
  <si>
    <t>Feb</t>
  </si>
  <si>
    <t>Jan</t>
  </si>
  <si>
    <t>Jul</t>
  </si>
  <si>
    <t>Jun</t>
  </si>
  <si>
    <t>May</t>
  </si>
  <si>
    <t>Nov</t>
  </si>
  <si>
    <t>Oct</t>
  </si>
  <si>
    <t>Sep</t>
  </si>
  <si>
    <t>Sum of revenue</t>
  </si>
  <si>
    <t>Average of revenue</t>
  </si>
  <si>
    <t>month_num</t>
  </si>
  <si>
    <t>Min of month_num</t>
  </si>
  <si>
    <t>Sum of total_quantity</t>
  </si>
  <si>
    <t>Column Labels</t>
  </si>
  <si>
    <t>Austria</t>
  </si>
  <si>
    <t>Czech Republic</t>
  </si>
  <si>
    <t>France</t>
  </si>
  <si>
    <t>Germany</t>
  </si>
  <si>
    <t>Italy</t>
  </si>
  <si>
    <t>Netherlands</t>
  </si>
  <si>
    <t>Poland</t>
  </si>
  <si>
    <t>Slovakia</t>
  </si>
  <si>
    <t>Spain</t>
  </si>
  <si>
    <t>Sweden</t>
  </si>
  <si>
    <t>country_clean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</si>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</sst>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/>
    <xf numFmtId="0" fontId="2" fillId="0" borderId="0" xfId="0" applyFont="1"/>
    <xf numFmtId="10" fontId="0" fillId="0" borderId="0" xfId="0" applyNumberFormat="1"/>
    <xf numFmtId="10" fontId="2" fillId="2" borderId="2" xfId="0" applyNumberFormat="1" applyFont="1" applyFill="1" applyBorder="1"/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/>
    <xf numFmtId="9" fontId="0" fillId="0" borderId="0" xfId="1" applyFont="1"/>
    <xf numFmtId="9" fontId="0" fillId="0" borderId="0" xfId="1" applyFont="1" applyAlignment="1">
      <alignment vertical="center" wrapText="1"/>
    </xf>
  </cellXfs>
  <cellStyles count="2">
    <cellStyle name="Normal" xfId="0" builtinId="0"/>
    <cellStyle name="Percent" xfId="1" builtinId="5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Revenue &amp; YoY Growth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revenue!$B$2:$B$11</c:f>
              <c:numCache>
                <c:formatCode>General</c:formatCode>
                <c:ptCount val="10"/>
                <c:pt idx="0">
                  <c:v>12615717</c:v>
                </c:pt>
                <c:pt idx="1">
                  <c:v>13332600</c:v>
                </c:pt>
                <c:pt idx="2">
                  <c:v>13724944</c:v>
                </c:pt>
                <c:pt idx="3">
                  <c:v>14125730</c:v>
                </c:pt>
                <c:pt idx="4">
                  <c:v>14747698</c:v>
                </c:pt>
                <c:pt idx="5">
                  <c:v>15169997</c:v>
                </c:pt>
                <c:pt idx="6">
                  <c:v>15704753</c:v>
                </c:pt>
                <c:pt idx="7">
                  <c:v>16299343</c:v>
                </c:pt>
                <c:pt idx="8">
                  <c:v>16527507</c:v>
                </c:pt>
                <c:pt idx="9">
                  <c:v>17279314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D-4260-AFD9-FE78FE8F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311343"/>
        <c:axId val="469312783"/>
      </c:barChart>
      <c:lineChart>
        <c:grouping val="standard"/>
        <c:varyColors val="0"/>
        <c:ser>
          <c:idx val="1"/>
          <c:order val="1"/>
          <c:tx>
            <c:strRef>
              <c:f>revenue!$C$1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5.521265933530467E-2"/>
                  <c:y val="-3.0241935483870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0D-4260-AFD9-FE78FE8FFF99}"/>
                </c:ext>
              </c:extLst>
            </c:dLbl>
            <c:dLbl>
              <c:idx val="7"/>
              <c:layout>
                <c:manualLayout>
                  <c:x val="-5.345457213417943E-2"/>
                  <c:y val="-2.3521505376344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0D-4260-AFD9-FE78FE8FFF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revenue!$C$2:$C$11</c:f>
              <c:numCache>
                <c:formatCode>0%</c:formatCode>
                <c:ptCount val="10"/>
                <c:pt idx="0">
                  <c:v>0</c:v>
                </c:pt>
                <c:pt idx="1">
                  <c:v>5.6824594273952089E-2</c:v>
                </c:pt>
                <c:pt idx="2">
                  <c:v>2.9427418508017941E-2</c:v>
                </c:pt>
                <c:pt idx="3">
                  <c:v>2.9201284901417449E-2</c:v>
                </c:pt>
                <c:pt idx="4">
                  <c:v>4.4030857166319902E-2</c:v>
                </c:pt>
                <c:pt idx="5">
                  <c:v>2.8634909665223685E-2</c:v>
                </c:pt>
                <c:pt idx="6">
                  <c:v>3.5250896885477299E-2</c:v>
                </c:pt>
                <c:pt idx="7">
                  <c:v>3.7860512674092996E-2</c:v>
                </c:pt>
                <c:pt idx="8">
                  <c:v>1.3998355639242637E-2</c:v>
                </c:pt>
                <c:pt idx="9">
                  <c:v>4.5488227595365714E-2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D-4260-AFD9-FE78FE8F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299823"/>
        <c:axId val="469300303"/>
      </c:lineChart>
      <c:catAx>
        <c:axId val="4693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9312783"/>
        <c:crosses val="autoZero"/>
        <c:auto val="1"/>
        <c:lblAlgn val="ctr"/>
        <c:lblOffset val="100"/>
        <c:noMultiLvlLbl val="0"/>
      </c:catAx>
      <c:valAx>
        <c:axId val="4693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9311343"/>
        <c:crosses val="autoZero"/>
        <c:crossBetween val="between"/>
      </c:valAx>
      <c:valAx>
        <c:axId val="4693003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9299823"/>
        <c:crosses val="max"/>
        <c:crossBetween val="between"/>
      </c:valAx>
      <c:catAx>
        <c:axId val="469299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9300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Revenue Growth Drivers: Volume vs Price</a:t>
            </a:r>
            <a:endParaRPr lang="pl-PL"/>
          </a:p>
        </c:rich>
      </c:tx>
      <c:layout>
        <c:manualLayout>
          <c:xMode val="edge"/>
          <c:yMode val="edge"/>
          <c:x val="0.26204721165107758"/>
          <c:y val="4.3516100957354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1765355839140801E-2"/>
          <c:y val="0.17445604873803308"/>
          <c:w val="0.90428828400760253"/>
          <c:h val="0.63360443431413183"/>
        </c:manualLayout>
      </c:layout>
      <c:lineChart>
        <c:grouping val="standard"/>
        <c:varyColors val="0"/>
        <c:ser>
          <c:idx val="0"/>
          <c:order val="0"/>
          <c:tx>
            <c:strRef>
              <c:f>revenue!$C$1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revenue!$A$2:$A$11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revenue!$C$2:$C$11</c:f>
              <c:numCache>
                <c:formatCode>0%</c:formatCode>
                <c:ptCount val="10"/>
                <c:pt idx="0">
                  <c:v>0</c:v>
                </c:pt>
                <c:pt idx="1">
                  <c:v>5.6824594273952089E-2</c:v>
                </c:pt>
                <c:pt idx="2">
                  <c:v>2.9427418508017941E-2</c:v>
                </c:pt>
                <c:pt idx="3">
                  <c:v>2.9201284901417449E-2</c:v>
                </c:pt>
                <c:pt idx="4">
                  <c:v>4.4030857166319902E-2</c:v>
                </c:pt>
                <c:pt idx="5">
                  <c:v>2.8634909665223685E-2</c:v>
                </c:pt>
                <c:pt idx="6">
                  <c:v>3.5250896885477299E-2</c:v>
                </c:pt>
                <c:pt idx="7">
                  <c:v>3.7860512674092996E-2</c:v>
                </c:pt>
                <c:pt idx="8">
                  <c:v>1.3998355639242637E-2</c:v>
                </c:pt>
                <c:pt idx="9">
                  <c:v>4.5488227595365714E-2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A-4E99-963E-6E1BD05AD39B}"/>
            </c:ext>
          </c:extLst>
        </c:ser>
        <c:ser>
          <c:idx val="1"/>
          <c:order val="1"/>
          <c:tx>
            <c:strRef>
              <c:f>revenue!$E$1</c:f>
              <c:strCache>
                <c:ptCount val="1"/>
                <c:pt idx="0">
                  <c:v>YoY_quantity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revenue!$E$2:$E$11</c:f>
              <c:numCache>
                <c:formatCode>0%</c:formatCode>
                <c:ptCount val="10"/>
                <c:pt idx="0">
                  <c:v>0</c:v>
                </c:pt>
                <c:pt idx="1">
                  <c:v>7.0917612234829798E-3</c:v>
                </c:pt>
                <c:pt idx="2">
                  <c:v>-3.1228951074643318E-3</c:v>
                </c:pt>
                <c:pt idx="3">
                  <c:v>-9.6314496314496307E-3</c:v>
                </c:pt>
                <c:pt idx="4">
                  <c:v>8.3234097449637785E-3</c:v>
                </c:pt>
                <c:pt idx="5">
                  <c:v>-6.9260767404382001E-3</c:v>
                </c:pt>
                <c:pt idx="6">
                  <c:v>3.9269610029235421E-3</c:v>
                </c:pt>
                <c:pt idx="7">
                  <c:v>8.0453103984402963E-3</c:v>
                </c:pt>
                <c:pt idx="8">
                  <c:v>-2.1495109740124613E-2</c:v>
                </c:pt>
                <c:pt idx="9">
                  <c:v>2.097902097902098E-2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A-4E99-963E-6E1BD05AD39B}"/>
            </c:ext>
          </c:extLst>
        </c:ser>
        <c:ser>
          <c:idx val="2"/>
          <c:order val="2"/>
          <c:tx>
            <c:strRef>
              <c:f>revenue!$G$1</c:f>
              <c:strCache>
                <c:ptCount val="1"/>
                <c:pt idx="0">
                  <c:v>YoY_avg_price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revenue!$G$2:$G$11</c:f>
              <c:numCache>
                <c:formatCode>0%</c:formatCode>
                <c:ptCount val="10"/>
                <c:pt idx="0">
                  <c:v>0</c:v>
                </c:pt>
                <c:pt idx="1">
                  <c:v>4.4871794871794872E-2</c:v>
                </c:pt>
                <c:pt idx="2">
                  <c:v>3.6809815950920248E-2</c:v>
                </c:pt>
                <c:pt idx="3">
                  <c:v>3.5502958579881658E-2</c:v>
                </c:pt>
                <c:pt idx="4">
                  <c:v>3.4285714285714287E-2</c:v>
                </c:pt>
                <c:pt idx="5">
                  <c:v>3.8674033149171269E-2</c:v>
                </c:pt>
                <c:pt idx="6">
                  <c:v>3.1914893617021274E-2</c:v>
                </c:pt>
                <c:pt idx="7">
                  <c:v>3.0927835051546393E-2</c:v>
                </c:pt>
                <c:pt idx="8">
                  <c:v>3.5000000000000003E-2</c:v>
                </c:pt>
                <c:pt idx="9">
                  <c:v>2.4154589371980676E-2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5A-4E99-963E-6E1BD05AD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303887"/>
        <c:axId val="467310127"/>
      </c:lineChart>
      <c:catAx>
        <c:axId val="46730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7310127"/>
        <c:crossesAt val="-1"/>
        <c:auto val="1"/>
        <c:lblAlgn val="ctr"/>
        <c:lblOffset val="100"/>
        <c:noMultiLvlLbl val="0"/>
      </c:catAx>
      <c:valAx>
        <c:axId val="46731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730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601859952691099"/>
          <c:y val="0.90725468526960451"/>
          <c:w val="0.50796274847597078"/>
          <c:h val="6.6333011439607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[01_revenue.xlsx]countries_by_years!PivotTable1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countries_by_years!$B$1:$B$2</c:f>
              <c:strCache>
                <c:ptCount val="1"/>
                <c:pt idx="0">
                  <c:v>Austria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countries_by_years!$B$3:$B$13</c:f>
              <c:numCache>
                <c:formatCode>General</c:formatCode>
                <c:ptCount val="10"/>
                <c:pt idx="0">
                  <c:v>8393</c:v>
                </c:pt>
                <c:pt idx="1">
                  <c:v>8077</c:v>
                </c:pt>
                <c:pt idx="2">
                  <c:v>8112</c:v>
                </c:pt>
                <c:pt idx="3">
                  <c:v>8287</c:v>
                </c:pt>
                <c:pt idx="4">
                  <c:v>8278</c:v>
                </c:pt>
                <c:pt idx="5">
                  <c:v>8238</c:v>
                </c:pt>
                <c:pt idx="6">
                  <c:v>8194</c:v>
                </c:pt>
                <c:pt idx="7">
                  <c:v>8312</c:v>
                </c:pt>
                <c:pt idx="8">
                  <c:v>8234</c:v>
                </c:pt>
                <c:pt idx="9">
                  <c:v>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1-41EF-A20E-03C99C13808B}"/>
            </c:ext>
          </c:extLst>
        </c:ser>
        <c:ser>
          <c:idx val="1"/>
          <c:order val="1"/>
          <c:tx>
            <c:strRef>
              <c:f>countries_by_years!$C$1:$C$2</c:f>
              <c:strCache>
                <c:ptCount val="1"/>
                <c:pt idx="0">
                  <c:v>Czech Republic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countries_by_years!$C$3:$C$13</c:f>
              <c:numCache>
                <c:formatCode>General</c:formatCode>
                <c:ptCount val="10"/>
                <c:pt idx="0">
                  <c:v>8083</c:v>
                </c:pt>
                <c:pt idx="1">
                  <c:v>8369</c:v>
                </c:pt>
                <c:pt idx="2">
                  <c:v>8081</c:v>
                </c:pt>
                <c:pt idx="3">
                  <c:v>7854</c:v>
                </c:pt>
                <c:pt idx="4">
                  <c:v>8147</c:v>
                </c:pt>
                <c:pt idx="5">
                  <c:v>8115</c:v>
                </c:pt>
                <c:pt idx="6">
                  <c:v>7831</c:v>
                </c:pt>
                <c:pt idx="7">
                  <c:v>8319</c:v>
                </c:pt>
                <c:pt idx="8">
                  <c:v>8137</c:v>
                </c:pt>
                <c:pt idx="9">
                  <c:v>7963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1-41EF-A20E-03C99C13808B}"/>
            </c:ext>
          </c:extLst>
        </c:ser>
        <c:ser>
          <c:idx val="2"/>
          <c:order val="2"/>
          <c:tx>
            <c:strRef>
              <c:f>countries_by_years!$D$1:$D$2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countries_by_years!$D$3:$D$13</c:f>
              <c:numCache>
                <c:formatCode>General</c:formatCode>
                <c:ptCount val="10"/>
                <c:pt idx="0">
                  <c:v>7964</c:v>
                </c:pt>
                <c:pt idx="1">
                  <c:v>8184</c:v>
                </c:pt>
                <c:pt idx="2">
                  <c:v>8110</c:v>
                </c:pt>
                <c:pt idx="3">
                  <c:v>7985</c:v>
                </c:pt>
                <c:pt idx="4">
                  <c:v>7887</c:v>
                </c:pt>
                <c:pt idx="5">
                  <c:v>8053</c:v>
                </c:pt>
                <c:pt idx="6">
                  <c:v>7936</c:v>
                </c:pt>
                <c:pt idx="7">
                  <c:v>8219</c:v>
                </c:pt>
                <c:pt idx="8">
                  <c:v>7919</c:v>
                </c:pt>
                <c:pt idx="9">
                  <c:v>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1-41EF-A20E-03C99C13808B}"/>
            </c:ext>
          </c:extLst>
        </c:ser>
        <c:ser>
          <c:idx val="3"/>
          <c:order val="3"/>
          <c:tx>
            <c:strRef>
              <c:f>countries_by_years!$E$1:$E$2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countries_by_years!$E$3:$E$13</c:f>
              <c:numCache>
                <c:formatCode>General</c:formatCode>
                <c:ptCount val="10"/>
                <c:pt idx="0">
                  <c:v>8034</c:v>
                </c:pt>
                <c:pt idx="1">
                  <c:v>7989</c:v>
                </c:pt>
                <c:pt idx="2">
                  <c:v>8218</c:v>
                </c:pt>
                <c:pt idx="3">
                  <c:v>8207</c:v>
                </c:pt>
                <c:pt idx="4">
                  <c:v>7857</c:v>
                </c:pt>
                <c:pt idx="5">
                  <c:v>8135</c:v>
                </c:pt>
                <c:pt idx="6">
                  <c:v>8022</c:v>
                </c:pt>
                <c:pt idx="7">
                  <c:v>8171</c:v>
                </c:pt>
                <c:pt idx="8">
                  <c:v>8107</c:v>
                </c:pt>
                <c:pt idx="9">
                  <c:v>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91-41EF-A20E-03C99C13808B}"/>
            </c:ext>
          </c:extLst>
        </c:ser>
        <c:ser>
          <c:idx val="4"/>
          <c:order val="4"/>
          <c:tx>
            <c:strRef>
              <c:f>countries_by_years!$F$1:$F$2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countries_by_years!$F$3:$F$13</c:f>
              <c:numCache>
                <c:formatCode>General</c:formatCode>
                <c:ptCount val="10"/>
                <c:pt idx="0">
                  <c:v>7968</c:v>
                </c:pt>
                <c:pt idx="1">
                  <c:v>8106</c:v>
                </c:pt>
                <c:pt idx="2">
                  <c:v>7990</c:v>
                </c:pt>
                <c:pt idx="3">
                  <c:v>7905</c:v>
                </c:pt>
                <c:pt idx="4">
                  <c:v>8123</c:v>
                </c:pt>
                <c:pt idx="5">
                  <c:v>7745</c:v>
                </c:pt>
                <c:pt idx="6">
                  <c:v>8007</c:v>
                </c:pt>
                <c:pt idx="7">
                  <c:v>8397</c:v>
                </c:pt>
                <c:pt idx="8">
                  <c:v>8137</c:v>
                </c:pt>
                <c:pt idx="9">
                  <c:v>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91-41EF-A20E-03C99C13808B}"/>
            </c:ext>
          </c:extLst>
        </c:ser>
        <c:ser>
          <c:idx val="5"/>
          <c:order val="5"/>
          <c:tx>
            <c:strRef>
              <c:f>countries_by_years!$G$1:$G$2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countries_by_years!$G$3:$G$13</c:f>
              <c:numCache>
                <c:formatCode>General</c:formatCode>
                <c:ptCount val="10"/>
                <c:pt idx="0">
                  <c:v>8118</c:v>
                </c:pt>
                <c:pt idx="1">
                  <c:v>8232</c:v>
                </c:pt>
                <c:pt idx="2">
                  <c:v>8484</c:v>
                </c:pt>
                <c:pt idx="3">
                  <c:v>8350</c:v>
                </c:pt>
                <c:pt idx="4">
                  <c:v>7976</c:v>
                </c:pt>
                <c:pt idx="5">
                  <c:v>8160</c:v>
                </c:pt>
                <c:pt idx="6">
                  <c:v>8218</c:v>
                </c:pt>
                <c:pt idx="7">
                  <c:v>8121</c:v>
                </c:pt>
                <c:pt idx="8">
                  <c:v>7664</c:v>
                </c:pt>
                <c:pt idx="9">
                  <c:v>7936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91-41EF-A20E-03C99C13808B}"/>
            </c:ext>
          </c:extLst>
        </c:ser>
        <c:ser>
          <c:idx val="6"/>
          <c:order val="6"/>
          <c:tx>
            <c:strRef>
              <c:f>countries_by_years!$H$1:$H$2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countries_by_years!$H$3:$H$13</c:f>
              <c:numCache>
                <c:formatCode>General</c:formatCode>
                <c:ptCount val="10"/>
                <c:pt idx="0">
                  <c:v>8252</c:v>
                </c:pt>
                <c:pt idx="1">
                  <c:v>8315</c:v>
                </c:pt>
                <c:pt idx="2">
                  <c:v>8453</c:v>
                </c:pt>
                <c:pt idx="3">
                  <c:v>8078</c:v>
                </c:pt>
                <c:pt idx="4">
                  <c:v>7960</c:v>
                </c:pt>
                <c:pt idx="5">
                  <c:v>8112</c:v>
                </c:pt>
                <c:pt idx="6">
                  <c:v>8151</c:v>
                </c:pt>
                <c:pt idx="7">
                  <c:v>7857</c:v>
                </c:pt>
                <c:pt idx="8">
                  <c:v>8073</c:v>
                </c:pt>
                <c:pt idx="9">
                  <c:v>8072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91-41EF-A20E-03C99C13808B}"/>
            </c:ext>
          </c:extLst>
        </c:ser>
        <c:ser>
          <c:idx val="7"/>
          <c:order val="7"/>
          <c:tx>
            <c:strRef>
              <c:f>countries_by_years!$I$1:$I$2</c:f>
              <c:strCache>
                <c:ptCount val="1"/>
                <c:pt idx="0">
                  <c:v>Slovakia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countries_by_years!$I$3:$I$13</c:f>
              <c:numCache>
                <c:formatCode>General</c:formatCode>
                <c:ptCount val="10"/>
                <c:pt idx="0">
                  <c:v>8079</c:v>
                </c:pt>
                <c:pt idx="1">
                  <c:v>8290</c:v>
                </c:pt>
                <c:pt idx="2">
                  <c:v>8052</c:v>
                </c:pt>
                <c:pt idx="3">
                  <c:v>8217</c:v>
                </c:pt>
                <c:pt idx="4">
                  <c:v>8402</c:v>
                </c:pt>
                <c:pt idx="5">
                  <c:v>8181</c:v>
                </c:pt>
                <c:pt idx="6">
                  <c:v>8218</c:v>
                </c:pt>
                <c:pt idx="7">
                  <c:v>8307</c:v>
                </c:pt>
                <c:pt idx="8">
                  <c:v>7939</c:v>
                </c:pt>
                <c:pt idx="9">
                  <c:v>8270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91-41EF-A20E-03C99C13808B}"/>
            </c:ext>
          </c:extLst>
        </c:ser>
        <c:ser>
          <c:idx val="8"/>
          <c:order val="8"/>
          <c:tx>
            <c:strRef>
              <c:f>countries_by_years!$J$1:$J$2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countries_by_years!$J$3:$J$13</c:f>
              <c:numCache>
                <c:formatCode>General</c:formatCode>
                <c:ptCount val="10"/>
                <c:pt idx="0">
                  <c:v>8066</c:v>
                </c:pt>
                <c:pt idx="1">
                  <c:v>7932</c:v>
                </c:pt>
                <c:pt idx="2">
                  <c:v>7906</c:v>
                </c:pt>
                <c:pt idx="3">
                  <c:v>7818</c:v>
                </c:pt>
                <c:pt idx="4">
                  <c:v>8305</c:v>
                </c:pt>
                <c:pt idx="5">
                  <c:v>7958</c:v>
                </c:pt>
                <c:pt idx="6">
                  <c:v>8304</c:v>
                </c:pt>
                <c:pt idx="7">
                  <c:v>8062</c:v>
                </c:pt>
                <c:pt idx="8">
                  <c:v>7827</c:v>
                </c:pt>
                <c:pt idx="9">
                  <c:v>8195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91-41EF-A20E-03C99C13808B}"/>
            </c:ext>
          </c:extLst>
        </c:ser>
        <c:ser>
          <c:idx val="9"/>
          <c:order val="9"/>
          <c:tx>
            <c:strRef>
              <c:f>countries_by_years!$K$1:$K$2</c:f>
              <c:strCache>
                <c:ptCount val="1"/>
                <c:pt idx="0">
                  <c:v>Sweden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countries_by_years!$A$3:$A$13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countries_by_years!$K$3:$K$13</c:f>
              <c:numCache>
                <c:formatCode>General</c:formatCode>
                <c:ptCount val="10"/>
                <c:pt idx="0">
                  <c:v>8123</c:v>
                </c:pt>
                <c:pt idx="1">
                  <c:v>8161</c:v>
                </c:pt>
                <c:pt idx="2">
                  <c:v>7994</c:v>
                </c:pt>
                <c:pt idx="3">
                  <c:v>7915</c:v>
                </c:pt>
                <c:pt idx="4">
                  <c:v>8352</c:v>
                </c:pt>
                <c:pt idx="5">
                  <c:v>8027</c:v>
                </c:pt>
                <c:pt idx="6">
                  <c:v>8160</c:v>
                </c:pt>
                <c:pt idx="7">
                  <c:v>7928</c:v>
                </c:pt>
                <c:pt idx="8">
                  <c:v>7900</c:v>
                </c:pt>
                <c:pt idx="9">
                  <c:v>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91-41EF-A20E-03C99C138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329407"/>
        <c:axId val="2072325567"/>
      </c:barChart>
      <c:catAx>
        <c:axId val="20723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2325567"/>
        <c:crosses val="autoZero"/>
        <c:auto val="1"/>
        <c:lblAlgn val="ctr"/>
        <c:lblOffset val="100"/>
        <c:noMultiLvlLbl val="0"/>
      </c:catAx>
      <c:valAx>
        <c:axId val="207232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232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quantity_by_country!$B$1</c:f>
              <c:strCache>
                <c:ptCount val="1"/>
                <c:pt idx="0">
                  <c:v>total_quantity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quantity_by_country!$A$2:$A$11</c:f>
              <c:strCache>
                <c:ptCount val="10"/>
                <c:pt idx="0">
                  <c:v>Austria</c:v>
                </c:pt>
                <c:pt idx="1">
                  <c:v>Slovakia</c:v>
                </c:pt>
                <c:pt idx="2">
                  <c:v>Poland</c:v>
                </c:pt>
                <c:pt idx="3">
                  <c:v>Netherlands</c:v>
                </c:pt>
                <c:pt idx="4">
                  <c:v>Germany</c:v>
                </c:pt>
                <c:pt idx="5">
                  <c:v>Czech Republic</c:v>
                </c:pt>
                <c:pt idx="6">
                  <c:v>Sweden</c:v>
                </c:pt>
                <c:pt idx="7">
                  <c:v>Italy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quantity_by_country!$B$2:$B$11</c:f>
              <c:numCache>
                <c:formatCode>General</c:formatCode>
                <c:ptCount val="10"/>
                <c:pt idx="0">
                  <c:v>82633</c:v>
                </c:pt>
                <c:pt idx="1">
                  <c:v>81955</c:v>
                </c:pt>
                <c:pt idx="2">
                  <c:v>81323</c:v>
                </c:pt>
                <c:pt idx="3">
                  <c:v>81259</c:v>
                </c:pt>
                <c:pt idx="4">
                  <c:v>81040</c:v>
                </c:pt>
                <c:pt idx="5">
                  <c:v>80899</c:v>
                </c:pt>
                <c:pt idx="6">
                  <c:v>80658</c:v>
                </c:pt>
                <c:pt idx="7">
                  <c:v>80477</c:v>
                </c:pt>
                <c:pt idx="8">
                  <c:v>80430</c:v>
                </c:pt>
                <c:pt idx="9">
                  <c:v>80373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F-4083-BB61-30AFBD261F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Monthly Revenue Trend (2015–2024)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seasonality!$A$2:$A$121</c:f>
              <c:strCache>
                <c:ptCount val="12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  <c:pt idx="98">
                  <c:v>2023-03</c:v>
                </c:pt>
                <c:pt idx="99">
                  <c:v>2023-04</c:v>
                </c:pt>
                <c:pt idx="100">
                  <c:v>2023-05</c:v>
                </c:pt>
                <c:pt idx="101">
                  <c:v>2023-06</c:v>
                </c:pt>
                <c:pt idx="102">
                  <c:v>2023-07</c:v>
                </c:pt>
                <c:pt idx="103">
                  <c:v>2023-08</c:v>
                </c:pt>
                <c:pt idx="104">
                  <c:v>2023-09</c:v>
                </c:pt>
                <c:pt idx="105">
                  <c:v>2023-10</c:v>
                </c:pt>
                <c:pt idx="106">
                  <c:v>2023-11</c:v>
                </c:pt>
                <c:pt idx="107">
                  <c:v>2023-12</c:v>
                </c:pt>
                <c:pt idx="108">
                  <c:v>2024-01</c:v>
                </c:pt>
                <c:pt idx="109">
                  <c:v>2024-02</c:v>
                </c:pt>
                <c:pt idx="110">
                  <c:v>2024-03</c:v>
                </c:pt>
                <c:pt idx="111">
                  <c:v>2024-04</c:v>
                </c:pt>
                <c:pt idx="112">
                  <c:v>2024-05</c:v>
                </c:pt>
                <c:pt idx="113">
                  <c:v>2024-06</c:v>
                </c:pt>
                <c:pt idx="114">
                  <c:v>2024-07</c:v>
                </c:pt>
                <c:pt idx="115">
                  <c:v>2024-08</c:v>
                </c:pt>
                <c:pt idx="116">
                  <c:v>2024-09</c:v>
                </c:pt>
                <c:pt idx="117">
                  <c:v>2024-10</c:v>
                </c:pt>
                <c:pt idx="118">
                  <c:v>2024-11</c:v>
                </c:pt>
                <c:pt idx="119">
                  <c:v>2024-12</c:v>
                </c:pt>
              </c:strCache>
            </c:strRef>
          </c:cat>
          <c:val>
            <c:numRef>
              <c:f>seasonality!$B$2:$B$121</c:f>
              <c:numCache>
                <c:formatCode>#,##0</c:formatCode>
                <c:ptCount val="120"/>
                <c:pt idx="0">
                  <c:v>889346</c:v>
                </c:pt>
                <c:pt idx="1">
                  <c:v>723425</c:v>
                </c:pt>
                <c:pt idx="2">
                  <c:v>856995</c:v>
                </c:pt>
                <c:pt idx="3">
                  <c:v>941346</c:v>
                </c:pt>
                <c:pt idx="4">
                  <c:v>1007892</c:v>
                </c:pt>
                <c:pt idx="5">
                  <c:v>1012280</c:v>
                </c:pt>
                <c:pt idx="6">
                  <c:v>1062857</c:v>
                </c:pt>
                <c:pt idx="7">
                  <c:v>1059177</c:v>
                </c:pt>
                <c:pt idx="8">
                  <c:v>944451</c:v>
                </c:pt>
                <c:pt idx="9">
                  <c:v>1076754</c:v>
                </c:pt>
                <c:pt idx="10">
                  <c:v>1410934</c:v>
                </c:pt>
                <c:pt idx="11">
                  <c:v>1630260</c:v>
                </c:pt>
                <c:pt idx="12">
                  <c:v>892454</c:v>
                </c:pt>
                <c:pt idx="13">
                  <c:v>768950</c:v>
                </c:pt>
                <c:pt idx="14">
                  <c:v>918082</c:v>
                </c:pt>
                <c:pt idx="15">
                  <c:v>981246</c:v>
                </c:pt>
                <c:pt idx="16">
                  <c:v>1041927</c:v>
                </c:pt>
                <c:pt idx="17">
                  <c:v>1059197</c:v>
                </c:pt>
                <c:pt idx="18">
                  <c:v>1179437</c:v>
                </c:pt>
                <c:pt idx="19">
                  <c:v>1183284</c:v>
                </c:pt>
                <c:pt idx="20">
                  <c:v>1050758</c:v>
                </c:pt>
                <c:pt idx="21">
                  <c:v>1104297</c:v>
                </c:pt>
                <c:pt idx="22">
                  <c:v>1436981</c:v>
                </c:pt>
                <c:pt idx="23">
                  <c:v>1715987</c:v>
                </c:pt>
                <c:pt idx="24">
                  <c:v>898241</c:v>
                </c:pt>
                <c:pt idx="25">
                  <c:v>812207</c:v>
                </c:pt>
                <c:pt idx="26">
                  <c:v>945945</c:v>
                </c:pt>
                <c:pt idx="27">
                  <c:v>1057336</c:v>
                </c:pt>
                <c:pt idx="28">
                  <c:v>1052369</c:v>
                </c:pt>
                <c:pt idx="29">
                  <c:v>1128177</c:v>
                </c:pt>
                <c:pt idx="30">
                  <c:v>1200438</c:v>
                </c:pt>
                <c:pt idx="31">
                  <c:v>1170085</c:v>
                </c:pt>
                <c:pt idx="32">
                  <c:v>1040577</c:v>
                </c:pt>
                <c:pt idx="33">
                  <c:v>1143418</c:v>
                </c:pt>
                <c:pt idx="34">
                  <c:v>1543049</c:v>
                </c:pt>
                <c:pt idx="35">
                  <c:v>1733102</c:v>
                </c:pt>
                <c:pt idx="36">
                  <c:v>950208</c:v>
                </c:pt>
                <c:pt idx="37">
                  <c:v>807533</c:v>
                </c:pt>
                <c:pt idx="38">
                  <c:v>1001505</c:v>
                </c:pt>
                <c:pt idx="39">
                  <c:v>983544</c:v>
                </c:pt>
                <c:pt idx="40">
                  <c:v>1108437</c:v>
                </c:pt>
                <c:pt idx="41">
                  <c:v>1099314</c:v>
                </c:pt>
                <c:pt idx="42">
                  <c:v>1262529</c:v>
                </c:pt>
                <c:pt idx="43">
                  <c:v>1228263</c:v>
                </c:pt>
                <c:pt idx="44">
                  <c:v>1087898</c:v>
                </c:pt>
                <c:pt idx="45">
                  <c:v>1151539</c:v>
                </c:pt>
                <c:pt idx="46">
                  <c:v>1573794</c:v>
                </c:pt>
                <c:pt idx="47">
                  <c:v>1871166</c:v>
                </c:pt>
                <c:pt idx="48">
                  <c:v>1007226</c:v>
                </c:pt>
                <c:pt idx="49">
                  <c:v>871286</c:v>
                </c:pt>
                <c:pt idx="50">
                  <c:v>1053012</c:v>
                </c:pt>
                <c:pt idx="51">
                  <c:v>1119712</c:v>
                </c:pt>
                <c:pt idx="52">
                  <c:v>1122213</c:v>
                </c:pt>
                <c:pt idx="53">
                  <c:v>1132176</c:v>
                </c:pt>
                <c:pt idx="54">
                  <c:v>1294748</c:v>
                </c:pt>
                <c:pt idx="55">
                  <c:v>1264952</c:v>
                </c:pt>
                <c:pt idx="56">
                  <c:v>1092053</c:v>
                </c:pt>
                <c:pt idx="57">
                  <c:v>1187797</c:v>
                </c:pt>
                <c:pt idx="58">
                  <c:v>1673556</c:v>
                </c:pt>
                <c:pt idx="59">
                  <c:v>1928967</c:v>
                </c:pt>
                <c:pt idx="60">
                  <c:v>1017300</c:v>
                </c:pt>
                <c:pt idx="61">
                  <c:v>882789</c:v>
                </c:pt>
                <c:pt idx="62">
                  <c:v>1046838</c:v>
                </c:pt>
                <c:pt idx="63">
                  <c:v>1073522</c:v>
                </c:pt>
                <c:pt idx="64">
                  <c:v>1209530</c:v>
                </c:pt>
                <c:pt idx="65">
                  <c:v>1223975</c:v>
                </c:pt>
                <c:pt idx="66">
                  <c:v>1345059</c:v>
                </c:pt>
                <c:pt idx="67">
                  <c:v>1282330</c:v>
                </c:pt>
                <c:pt idx="68">
                  <c:v>1144825</c:v>
                </c:pt>
                <c:pt idx="69">
                  <c:v>1238169</c:v>
                </c:pt>
                <c:pt idx="70">
                  <c:v>1739783</c:v>
                </c:pt>
                <c:pt idx="71">
                  <c:v>1965877</c:v>
                </c:pt>
                <c:pt idx="72">
                  <c:v>966731</c:v>
                </c:pt>
                <c:pt idx="73">
                  <c:v>893068</c:v>
                </c:pt>
                <c:pt idx="74">
                  <c:v>1171921</c:v>
                </c:pt>
                <c:pt idx="75">
                  <c:v>1204030</c:v>
                </c:pt>
                <c:pt idx="76">
                  <c:v>1335532</c:v>
                </c:pt>
                <c:pt idx="77">
                  <c:v>1249755</c:v>
                </c:pt>
                <c:pt idx="78">
                  <c:v>1349785</c:v>
                </c:pt>
                <c:pt idx="79">
                  <c:v>1320872</c:v>
                </c:pt>
                <c:pt idx="80">
                  <c:v>1164917</c:v>
                </c:pt>
                <c:pt idx="81">
                  <c:v>1314022</c:v>
                </c:pt>
                <c:pt idx="82">
                  <c:v>1739191</c:v>
                </c:pt>
                <c:pt idx="83">
                  <c:v>1994929</c:v>
                </c:pt>
                <c:pt idx="84">
                  <c:v>1105134</c:v>
                </c:pt>
                <c:pt idx="85">
                  <c:v>922661</c:v>
                </c:pt>
                <c:pt idx="86">
                  <c:v>1173047</c:v>
                </c:pt>
                <c:pt idx="87">
                  <c:v>1195168</c:v>
                </c:pt>
                <c:pt idx="88">
                  <c:v>1289175</c:v>
                </c:pt>
                <c:pt idx="89">
                  <c:v>1307459</c:v>
                </c:pt>
                <c:pt idx="90">
                  <c:v>1397256</c:v>
                </c:pt>
                <c:pt idx="91">
                  <c:v>1389825</c:v>
                </c:pt>
                <c:pt idx="92">
                  <c:v>1253385</c:v>
                </c:pt>
                <c:pt idx="93">
                  <c:v>1315062</c:v>
                </c:pt>
                <c:pt idx="94">
                  <c:v>1809088</c:v>
                </c:pt>
                <c:pt idx="95">
                  <c:v>2142083</c:v>
                </c:pt>
                <c:pt idx="96">
                  <c:v>1138403</c:v>
                </c:pt>
                <c:pt idx="97">
                  <c:v>945580</c:v>
                </c:pt>
                <c:pt idx="98">
                  <c:v>1145399</c:v>
                </c:pt>
                <c:pt idx="99">
                  <c:v>1198763</c:v>
                </c:pt>
                <c:pt idx="100">
                  <c:v>1235374</c:v>
                </c:pt>
                <c:pt idx="101">
                  <c:v>1315596</c:v>
                </c:pt>
                <c:pt idx="102">
                  <c:v>1440960</c:v>
                </c:pt>
                <c:pt idx="103">
                  <c:v>1462384</c:v>
                </c:pt>
                <c:pt idx="104">
                  <c:v>1301181</c:v>
                </c:pt>
                <c:pt idx="105">
                  <c:v>1385048</c:v>
                </c:pt>
                <c:pt idx="106">
                  <c:v>1842567</c:v>
                </c:pt>
                <c:pt idx="107">
                  <c:v>2116252</c:v>
                </c:pt>
                <c:pt idx="108">
                  <c:v>1146451</c:v>
                </c:pt>
                <c:pt idx="109">
                  <c:v>1048858</c:v>
                </c:pt>
                <c:pt idx="110">
                  <c:v>1236525</c:v>
                </c:pt>
                <c:pt idx="111">
                  <c:v>1261634</c:v>
                </c:pt>
                <c:pt idx="112">
                  <c:v>1352008</c:v>
                </c:pt>
                <c:pt idx="113">
                  <c:v>1409527</c:v>
                </c:pt>
                <c:pt idx="114">
                  <c:v>1511610</c:v>
                </c:pt>
                <c:pt idx="115">
                  <c:v>1463728</c:v>
                </c:pt>
                <c:pt idx="116">
                  <c:v>1302022</c:v>
                </c:pt>
                <c:pt idx="117">
                  <c:v>1369704</c:v>
                </c:pt>
                <c:pt idx="118">
                  <c:v>1936010</c:v>
                </c:pt>
                <c:pt idx="119">
                  <c:v>2241237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E-4A04-9FE2-FA448B444450}"/>
            </c:ext>
          </c:extLst>
        </c:ser>
        <c:ser>
          <c:idx val="1"/>
          <c:order val="1"/>
          <c:tx>
            <c:strRef>
              <c:f>seasonality!$C$1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seasonality!$A$2:$A$121</c:f>
              <c:strCache>
                <c:ptCount val="12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  <c:pt idx="98">
                  <c:v>2023-03</c:v>
                </c:pt>
                <c:pt idx="99">
                  <c:v>2023-04</c:v>
                </c:pt>
                <c:pt idx="100">
                  <c:v>2023-05</c:v>
                </c:pt>
                <c:pt idx="101">
                  <c:v>2023-06</c:v>
                </c:pt>
                <c:pt idx="102">
                  <c:v>2023-07</c:v>
                </c:pt>
                <c:pt idx="103">
                  <c:v>2023-08</c:v>
                </c:pt>
                <c:pt idx="104">
                  <c:v>2023-09</c:v>
                </c:pt>
                <c:pt idx="105">
                  <c:v>2023-10</c:v>
                </c:pt>
                <c:pt idx="106">
                  <c:v>2023-11</c:v>
                </c:pt>
                <c:pt idx="107">
                  <c:v>2023-12</c:v>
                </c:pt>
                <c:pt idx="108">
                  <c:v>2024-01</c:v>
                </c:pt>
                <c:pt idx="109">
                  <c:v>2024-02</c:v>
                </c:pt>
                <c:pt idx="110">
                  <c:v>2024-03</c:v>
                </c:pt>
                <c:pt idx="111">
                  <c:v>2024-04</c:v>
                </c:pt>
                <c:pt idx="112">
                  <c:v>2024-05</c:v>
                </c:pt>
                <c:pt idx="113">
                  <c:v>2024-06</c:v>
                </c:pt>
                <c:pt idx="114">
                  <c:v>2024-07</c:v>
                </c:pt>
                <c:pt idx="115">
                  <c:v>2024-08</c:v>
                </c:pt>
                <c:pt idx="116">
                  <c:v>2024-09</c:v>
                </c:pt>
                <c:pt idx="117">
                  <c:v>2024-10</c:v>
                </c:pt>
                <c:pt idx="118">
                  <c:v>2024-11</c:v>
                </c:pt>
                <c:pt idx="119">
                  <c:v>2024-12</c:v>
                </c:pt>
              </c:strCache>
            </c:strRef>
          </c:cat>
          <c:val>
            <c:numRef>
              <c:f>seasonality!$C$2:$C$121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FE-4A04-9FE2-FA448B444450}"/>
            </c:ext>
          </c:extLst>
        </c:ser>
        <c:ser>
          <c:idx val="2"/>
          <c:order val="2"/>
          <c:tx>
            <c:strRef>
              <c:f>seasonality!$D$1</c:f>
              <c:strCache>
                <c:ptCount val="1"/>
                <c:pt idx="0">
                  <c:v>month_name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seasonality!$A$2:$A$121</c:f>
              <c:strCache>
                <c:ptCount val="12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  <c:pt idx="98">
                  <c:v>2023-03</c:v>
                </c:pt>
                <c:pt idx="99">
                  <c:v>2023-04</c:v>
                </c:pt>
                <c:pt idx="100">
                  <c:v>2023-05</c:v>
                </c:pt>
                <c:pt idx="101">
                  <c:v>2023-06</c:v>
                </c:pt>
                <c:pt idx="102">
                  <c:v>2023-07</c:v>
                </c:pt>
                <c:pt idx="103">
                  <c:v>2023-08</c:v>
                </c:pt>
                <c:pt idx="104">
                  <c:v>2023-09</c:v>
                </c:pt>
                <c:pt idx="105">
                  <c:v>2023-10</c:v>
                </c:pt>
                <c:pt idx="106">
                  <c:v>2023-11</c:v>
                </c:pt>
                <c:pt idx="107">
                  <c:v>2023-12</c:v>
                </c:pt>
                <c:pt idx="108">
                  <c:v>2024-01</c:v>
                </c:pt>
                <c:pt idx="109">
                  <c:v>2024-02</c:v>
                </c:pt>
                <c:pt idx="110">
                  <c:v>2024-03</c:v>
                </c:pt>
                <c:pt idx="111">
                  <c:v>2024-04</c:v>
                </c:pt>
                <c:pt idx="112">
                  <c:v>2024-05</c:v>
                </c:pt>
                <c:pt idx="113">
                  <c:v>2024-06</c:v>
                </c:pt>
                <c:pt idx="114">
                  <c:v>2024-07</c:v>
                </c:pt>
                <c:pt idx="115">
                  <c:v>2024-08</c:v>
                </c:pt>
                <c:pt idx="116">
                  <c:v>2024-09</c:v>
                </c:pt>
                <c:pt idx="117">
                  <c:v>2024-10</c:v>
                </c:pt>
                <c:pt idx="118">
                  <c:v>2024-11</c:v>
                </c:pt>
                <c:pt idx="119">
                  <c:v>2024-12</c:v>
                </c:pt>
              </c:strCache>
            </c:strRef>
          </c:cat>
          <c:val>
            <c:numRef>
              <c:f>seasonality!$D$2:$D$121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FE-4A04-9FE2-FA448B444450}"/>
            </c:ext>
          </c:extLst>
        </c:ser>
        <c:ser>
          <c:idx val="3"/>
          <c:order val="3"/>
          <c:tx>
            <c:strRef>
              <c:f>seasonality!$E$1</c:f>
              <c:strCache>
                <c:ptCount val="1"/>
                <c:pt idx="0">
                  <c:v>month_num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seasonality!$A$2:$A$121</c:f>
              <c:strCache>
                <c:ptCount val="12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  <c:pt idx="98">
                  <c:v>2023-03</c:v>
                </c:pt>
                <c:pt idx="99">
                  <c:v>2023-04</c:v>
                </c:pt>
                <c:pt idx="100">
                  <c:v>2023-05</c:v>
                </c:pt>
                <c:pt idx="101">
                  <c:v>2023-06</c:v>
                </c:pt>
                <c:pt idx="102">
                  <c:v>2023-07</c:v>
                </c:pt>
                <c:pt idx="103">
                  <c:v>2023-08</c:v>
                </c:pt>
                <c:pt idx="104">
                  <c:v>2023-09</c:v>
                </c:pt>
                <c:pt idx="105">
                  <c:v>2023-10</c:v>
                </c:pt>
                <c:pt idx="106">
                  <c:v>2023-11</c:v>
                </c:pt>
                <c:pt idx="107">
                  <c:v>2023-12</c:v>
                </c:pt>
                <c:pt idx="108">
                  <c:v>2024-01</c:v>
                </c:pt>
                <c:pt idx="109">
                  <c:v>2024-02</c:v>
                </c:pt>
                <c:pt idx="110">
                  <c:v>2024-03</c:v>
                </c:pt>
                <c:pt idx="111">
                  <c:v>2024-04</c:v>
                </c:pt>
                <c:pt idx="112">
                  <c:v>2024-05</c:v>
                </c:pt>
                <c:pt idx="113">
                  <c:v>2024-06</c:v>
                </c:pt>
                <c:pt idx="114">
                  <c:v>2024-07</c:v>
                </c:pt>
                <c:pt idx="115">
                  <c:v>2024-08</c:v>
                </c:pt>
                <c:pt idx="116">
                  <c:v>2024-09</c:v>
                </c:pt>
                <c:pt idx="117">
                  <c:v>2024-10</c:v>
                </c:pt>
                <c:pt idx="118">
                  <c:v>2024-11</c:v>
                </c:pt>
                <c:pt idx="119">
                  <c:v>2024-12</c:v>
                </c:pt>
              </c:strCache>
            </c:strRef>
          </c:cat>
          <c:val>
            <c:numRef>
              <c:f>seasonality!$E$2:$E$121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11</c:v>
                </c:pt>
                <c:pt idx="71">
                  <c:v>12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5</c:v>
                </c:pt>
                <c:pt idx="89">
                  <c:v>6</c:v>
                </c:pt>
                <c:pt idx="90">
                  <c:v>7</c:v>
                </c:pt>
                <c:pt idx="91">
                  <c:v>8</c:v>
                </c:pt>
                <c:pt idx="92">
                  <c:v>9</c:v>
                </c:pt>
                <c:pt idx="93">
                  <c:v>10</c:v>
                </c:pt>
                <c:pt idx="94">
                  <c:v>11</c:v>
                </c:pt>
                <c:pt idx="95">
                  <c:v>12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</c:v>
                </c:pt>
                <c:pt idx="109">
                  <c:v>2</c:v>
                </c:pt>
                <c:pt idx="110">
                  <c:v>3</c:v>
                </c:pt>
                <c:pt idx="111">
                  <c:v>4</c:v>
                </c:pt>
                <c:pt idx="112">
                  <c:v>5</c:v>
                </c:pt>
                <c:pt idx="113">
                  <c:v>6</c:v>
                </c:pt>
                <c:pt idx="114">
                  <c:v>7</c:v>
                </c:pt>
                <c:pt idx="115">
                  <c:v>8</c:v>
                </c:pt>
                <c:pt idx="116">
                  <c:v>9</c:v>
                </c:pt>
                <c:pt idx="117">
                  <c:v>10</c:v>
                </c:pt>
                <c:pt idx="118">
                  <c:v>11</c:v>
                </c:pt>
                <c:pt idx="1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0-4FFB-B71D-B3900FA4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085024"/>
        <c:axId val="522086944"/>
      </c:lineChart>
      <c:catAx>
        <c:axId val="522085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2086944"/>
        <c:crosses val="autoZero"/>
        <c:auto val="1"/>
        <c:lblAlgn val="ctr"/>
        <c:lblOffset val="100"/>
        <c:tickLblSkip val="12"/>
        <c:noMultiLvlLbl val="0"/>
      </c:catAx>
      <c:valAx>
        <c:axId val="52208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208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Average Revenue by Month (Seasonality)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'seasonality analysis'!$B$15</c:f>
              <c:strCache>
                <c:ptCount val="1"/>
                <c:pt idx="0">
                  <c:v>Average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'seasonality analysis'!$A$16:$A$27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analysis'!$B$16:$B$27</c:f>
              <c:numCache>
                <c:formatCode>#,##0</c:formatCode>
                <c:ptCount val="12"/>
                <c:pt idx="0">
                  <c:v>1001149.4</c:v>
                </c:pt>
                <c:pt idx="1">
                  <c:v>867635.7</c:v>
                </c:pt>
                <c:pt idx="2">
                  <c:v>1054926.8999999999</c:v>
                </c:pt>
                <c:pt idx="3">
                  <c:v>1101630.1000000001</c:v>
                </c:pt>
                <c:pt idx="4">
                  <c:v>1175445.7</c:v>
                </c:pt>
                <c:pt idx="5">
                  <c:v>1193745.6000000001</c:v>
                </c:pt>
                <c:pt idx="6">
                  <c:v>1304467.8999999999</c:v>
                </c:pt>
                <c:pt idx="7">
                  <c:v>1282490</c:v>
                </c:pt>
                <c:pt idx="8">
                  <c:v>1138206.7</c:v>
                </c:pt>
                <c:pt idx="9">
                  <c:v>1228581</c:v>
                </c:pt>
                <c:pt idx="10">
                  <c:v>1670495.3</c:v>
                </c:pt>
                <c:pt idx="11">
                  <c:v>1933986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7-4A8D-8094-99F45DFEA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147104"/>
        <c:axId val="567136064"/>
      </c:barChart>
      <c:catAx>
        <c:axId val="56714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7136064"/>
        <c:crosses val="autoZero"/>
        <c:auto val="1"/>
        <c:lblAlgn val="ctr"/>
        <c:lblOffset val="100"/>
        <c:noMultiLvlLbl val="0"/>
      </c:catAx>
      <c:valAx>
        <c:axId val="567136064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714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0</xdr:row>
      <xdr:rowOff>68580</xdr:rowOff>
    </xdr:from>
    <xdr:to>
      <xdr:col>20</xdr:col>
      <xdr:colOff>68580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7379C-03BE-82A4-44AF-E2950B92E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11</xdr:row>
      <xdr:rowOff>114300</xdr:rowOff>
    </xdr:from>
    <xdr:to>
      <xdr:col>8</xdr:col>
      <xdr:colOff>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75610-3A26-A4C7-F953-18455B3D4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7</xdr:row>
      <xdr:rowOff>129540</xdr:rowOff>
    </xdr:from>
    <xdr:to>
      <xdr:col>14</xdr:col>
      <xdr:colOff>525780</xdr:colOff>
      <xdr:row>27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026FC-CBDD-449F-B4C6-D1203CA35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15240</xdr:rowOff>
    </xdr:from>
    <xdr:to>
      <xdr:col>10</xdr:col>
      <xdr:colOff>419100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7C2A9-C2FE-5BEB-0DC7-7EECC1867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0</xdr:row>
      <xdr:rowOff>160020</xdr:rowOff>
    </xdr:from>
    <xdr:to>
      <xdr:col>20</xdr:col>
      <xdr:colOff>419100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A2D24-6AFC-B56E-DFC9-0086BCF6D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83820</xdr:rowOff>
    </xdr:from>
    <xdr:to>
      <xdr:col>14</xdr:col>
      <xdr:colOff>327660</xdr:colOff>
      <xdr:row>21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A24E98-FC57-46BE-58A2-ACA16BD15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02_countrie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a Pasternak" refreshedDate="46157.661300925924" createdVersion="8" refreshedVersion="8" minRefreshableVersion="3" recordCount="120" xr:uid="{159F1209-0AA7-4B9A-948E-99F4B878D724}">
  <cacheSource type="worksheet">
    <worksheetSource name="Table2"/>
  </cacheSource>
  <cacheFields count="5">
    <cacheField name="month" numFmtId="0">
      <sharedItems/>
    </cacheField>
    <cacheField name="revenue" numFmtId="3">
      <sharedItems containsSemiMixedTypes="0" containsString="0" containsNumber="1" containsInteger="1" minValue="723425" maxValue="2241237"/>
    </cacheField>
    <cacheField name="year" numFmtId="0">
      <sharedItems/>
    </cacheField>
    <cacheField name="month_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month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a Pasternak" refreshedDate="46160.601995833335" createdVersion="8" refreshedVersion="8" minRefreshableVersion="3" recordCount="100" xr:uid="{0011502B-4A52-43D3-88A3-B856199530BA}">
  <cacheSource type="worksheet">
    <worksheetSource ref="A1:E101" sheet="Sheet1" r:id="rId2"/>
  </cacheSource>
  <cacheFields count="5">
    <cacheField name="country_clean" numFmtId="0">
      <sharedItems count="10">
        <s v="Austria"/>
        <s v="Czech Republic"/>
        <s v="France"/>
        <s v="Germany"/>
        <s v="Italy"/>
        <s v="Netherlands"/>
        <s v="Poland"/>
        <s v="Slovakia"/>
        <s v="Spain"/>
        <s v="Sweden"/>
      </sharedItems>
    </cacheField>
    <cacheField name="year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revenue" numFmtId="0">
      <sharedItems containsSemiMixedTypes="0" containsString="0" containsNumber="1" containsInteger="1" minValue="1234273" maxValue="1817581"/>
    </cacheField>
    <cacheField name="total_quantity" numFmtId="0">
      <sharedItems containsSemiMixedTypes="0" containsString="0" containsNumber="1" containsInteger="1" minValue="7664" maxValue="8508"/>
    </cacheField>
    <cacheField name="avg_price" numFmtId="0">
      <sharedItems containsSemiMixedTypes="0" containsString="0" containsNumber="1" containsInteger="1" minValue="153" maxValue="2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2015-01"/>
    <n v="889346"/>
    <s v="2015"/>
    <x v="0"/>
    <x v="0"/>
  </r>
  <r>
    <s v="2015-02"/>
    <n v="723425"/>
    <s v="2015"/>
    <x v="1"/>
    <x v="1"/>
  </r>
  <r>
    <s v="2015-03"/>
    <n v="856995"/>
    <s v="2015"/>
    <x v="2"/>
    <x v="2"/>
  </r>
  <r>
    <s v="2015-04"/>
    <n v="941346"/>
    <s v="2015"/>
    <x v="3"/>
    <x v="3"/>
  </r>
  <r>
    <s v="2015-05"/>
    <n v="1007892"/>
    <s v="2015"/>
    <x v="4"/>
    <x v="4"/>
  </r>
  <r>
    <s v="2015-06"/>
    <n v="1012280"/>
    <s v="2015"/>
    <x v="5"/>
    <x v="5"/>
  </r>
  <r>
    <s v="2015-07"/>
    <n v="1062857"/>
    <s v="2015"/>
    <x v="6"/>
    <x v="6"/>
  </r>
  <r>
    <s v="2015-08"/>
    <n v="1059177"/>
    <s v="2015"/>
    <x v="7"/>
    <x v="7"/>
  </r>
  <r>
    <s v="2015-09"/>
    <n v="944451"/>
    <s v="2015"/>
    <x v="8"/>
    <x v="8"/>
  </r>
  <r>
    <s v="2015-10"/>
    <n v="1076754"/>
    <s v="2015"/>
    <x v="9"/>
    <x v="9"/>
  </r>
  <r>
    <s v="2015-11"/>
    <n v="1410934"/>
    <s v="2015"/>
    <x v="10"/>
    <x v="10"/>
  </r>
  <r>
    <s v="2015-12"/>
    <n v="1630260"/>
    <s v="2015"/>
    <x v="11"/>
    <x v="11"/>
  </r>
  <r>
    <s v="2016-01"/>
    <n v="892454"/>
    <s v="2016"/>
    <x v="0"/>
    <x v="0"/>
  </r>
  <r>
    <s v="2016-02"/>
    <n v="768950"/>
    <s v="2016"/>
    <x v="1"/>
    <x v="1"/>
  </r>
  <r>
    <s v="2016-03"/>
    <n v="918082"/>
    <s v="2016"/>
    <x v="2"/>
    <x v="2"/>
  </r>
  <r>
    <s v="2016-04"/>
    <n v="981246"/>
    <s v="2016"/>
    <x v="3"/>
    <x v="3"/>
  </r>
  <r>
    <s v="2016-05"/>
    <n v="1041927"/>
    <s v="2016"/>
    <x v="4"/>
    <x v="4"/>
  </r>
  <r>
    <s v="2016-06"/>
    <n v="1059197"/>
    <s v="2016"/>
    <x v="5"/>
    <x v="5"/>
  </r>
  <r>
    <s v="2016-07"/>
    <n v="1179437"/>
    <s v="2016"/>
    <x v="6"/>
    <x v="6"/>
  </r>
  <r>
    <s v="2016-08"/>
    <n v="1183284"/>
    <s v="2016"/>
    <x v="7"/>
    <x v="7"/>
  </r>
  <r>
    <s v="2016-09"/>
    <n v="1050758"/>
    <s v="2016"/>
    <x v="8"/>
    <x v="8"/>
  </r>
  <r>
    <s v="2016-10"/>
    <n v="1104297"/>
    <s v="2016"/>
    <x v="9"/>
    <x v="9"/>
  </r>
  <r>
    <s v="2016-11"/>
    <n v="1436981"/>
    <s v="2016"/>
    <x v="10"/>
    <x v="10"/>
  </r>
  <r>
    <s v="2016-12"/>
    <n v="1715987"/>
    <s v="2016"/>
    <x v="11"/>
    <x v="11"/>
  </r>
  <r>
    <s v="2017-01"/>
    <n v="898241"/>
    <s v="2017"/>
    <x v="0"/>
    <x v="0"/>
  </r>
  <r>
    <s v="2017-02"/>
    <n v="812207"/>
    <s v="2017"/>
    <x v="1"/>
    <x v="1"/>
  </r>
  <r>
    <s v="2017-03"/>
    <n v="945945"/>
    <s v="2017"/>
    <x v="2"/>
    <x v="2"/>
  </r>
  <r>
    <s v="2017-04"/>
    <n v="1057336"/>
    <s v="2017"/>
    <x v="3"/>
    <x v="3"/>
  </r>
  <r>
    <s v="2017-05"/>
    <n v="1052369"/>
    <s v="2017"/>
    <x v="4"/>
    <x v="4"/>
  </r>
  <r>
    <s v="2017-06"/>
    <n v="1128177"/>
    <s v="2017"/>
    <x v="5"/>
    <x v="5"/>
  </r>
  <r>
    <s v="2017-07"/>
    <n v="1200438"/>
    <s v="2017"/>
    <x v="6"/>
    <x v="6"/>
  </r>
  <r>
    <s v="2017-08"/>
    <n v="1170085"/>
    <s v="2017"/>
    <x v="7"/>
    <x v="7"/>
  </r>
  <r>
    <s v="2017-09"/>
    <n v="1040577"/>
    <s v="2017"/>
    <x v="8"/>
    <x v="8"/>
  </r>
  <r>
    <s v="2017-10"/>
    <n v="1143418"/>
    <s v="2017"/>
    <x v="9"/>
    <x v="9"/>
  </r>
  <r>
    <s v="2017-11"/>
    <n v="1543049"/>
    <s v="2017"/>
    <x v="10"/>
    <x v="10"/>
  </r>
  <r>
    <s v="2017-12"/>
    <n v="1733102"/>
    <s v="2017"/>
    <x v="11"/>
    <x v="11"/>
  </r>
  <r>
    <s v="2018-01"/>
    <n v="950208"/>
    <s v="2018"/>
    <x v="0"/>
    <x v="0"/>
  </r>
  <r>
    <s v="2018-02"/>
    <n v="807533"/>
    <s v="2018"/>
    <x v="1"/>
    <x v="1"/>
  </r>
  <r>
    <s v="2018-03"/>
    <n v="1001505"/>
    <s v="2018"/>
    <x v="2"/>
    <x v="2"/>
  </r>
  <r>
    <s v="2018-04"/>
    <n v="983544"/>
    <s v="2018"/>
    <x v="3"/>
    <x v="3"/>
  </r>
  <r>
    <s v="2018-05"/>
    <n v="1108437"/>
    <s v="2018"/>
    <x v="4"/>
    <x v="4"/>
  </r>
  <r>
    <s v="2018-06"/>
    <n v="1099314"/>
    <s v="2018"/>
    <x v="5"/>
    <x v="5"/>
  </r>
  <r>
    <s v="2018-07"/>
    <n v="1262529"/>
    <s v="2018"/>
    <x v="6"/>
    <x v="6"/>
  </r>
  <r>
    <s v="2018-08"/>
    <n v="1228263"/>
    <s v="2018"/>
    <x v="7"/>
    <x v="7"/>
  </r>
  <r>
    <s v="2018-09"/>
    <n v="1087898"/>
    <s v="2018"/>
    <x v="8"/>
    <x v="8"/>
  </r>
  <r>
    <s v="2018-10"/>
    <n v="1151539"/>
    <s v="2018"/>
    <x v="9"/>
    <x v="9"/>
  </r>
  <r>
    <s v="2018-11"/>
    <n v="1573794"/>
    <s v="2018"/>
    <x v="10"/>
    <x v="10"/>
  </r>
  <r>
    <s v="2018-12"/>
    <n v="1871166"/>
    <s v="2018"/>
    <x v="11"/>
    <x v="11"/>
  </r>
  <r>
    <s v="2019-01"/>
    <n v="1007226"/>
    <s v="2019"/>
    <x v="0"/>
    <x v="0"/>
  </r>
  <r>
    <s v="2019-02"/>
    <n v="871286"/>
    <s v="2019"/>
    <x v="1"/>
    <x v="1"/>
  </r>
  <r>
    <s v="2019-03"/>
    <n v="1053012"/>
    <s v="2019"/>
    <x v="2"/>
    <x v="2"/>
  </r>
  <r>
    <s v="2019-04"/>
    <n v="1119712"/>
    <s v="2019"/>
    <x v="3"/>
    <x v="3"/>
  </r>
  <r>
    <s v="2019-05"/>
    <n v="1122213"/>
    <s v="2019"/>
    <x v="4"/>
    <x v="4"/>
  </r>
  <r>
    <s v="2019-06"/>
    <n v="1132176"/>
    <s v="2019"/>
    <x v="5"/>
    <x v="5"/>
  </r>
  <r>
    <s v="2019-07"/>
    <n v="1294748"/>
    <s v="2019"/>
    <x v="6"/>
    <x v="6"/>
  </r>
  <r>
    <s v="2019-08"/>
    <n v="1264952"/>
    <s v="2019"/>
    <x v="7"/>
    <x v="7"/>
  </r>
  <r>
    <s v="2019-09"/>
    <n v="1092053"/>
    <s v="2019"/>
    <x v="8"/>
    <x v="8"/>
  </r>
  <r>
    <s v="2019-10"/>
    <n v="1187797"/>
    <s v="2019"/>
    <x v="9"/>
    <x v="9"/>
  </r>
  <r>
    <s v="2019-11"/>
    <n v="1673556"/>
    <s v="2019"/>
    <x v="10"/>
    <x v="10"/>
  </r>
  <r>
    <s v="2019-12"/>
    <n v="1928967"/>
    <s v="2019"/>
    <x v="11"/>
    <x v="11"/>
  </r>
  <r>
    <s v="2020-01"/>
    <n v="1017300"/>
    <s v="2020"/>
    <x v="0"/>
    <x v="0"/>
  </r>
  <r>
    <s v="2020-02"/>
    <n v="882789"/>
    <s v="2020"/>
    <x v="1"/>
    <x v="1"/>
  </r>
  <r>
    <s v="2020-03"/>
    <n v="1046838"/>
    <s v="2020"/>
    <x v="2"/>
    <x v="2"/>
  </r>
  <r>
    <s v="2020-04"/>
    <n v="1073522"/>
    <s v="2020"/>
    <x v="3"/>
    <x v="3"/>
  </r>
  <r>
    <s v="2020-05"/>
    <n v="1209530"/>
    <s v="2020"/>
    <x v="4"/>
    <x v="4"/>
  </r>
  <r>
    <s v="2020-06"/>
    <n v="1223975"/>
    <s v="2020"/>
    <x v="5"/>
    <x v="5"/>
  </r>
  <r>
    <s v="2020-07"/>
    <n v="1345059"/>
    <s v="2020"/>
    <x v="6"/>
    <x v="6"/>
  </r>
  <r>
    <s v="2020-08"/>
    <n v="1282330"/>
    <s v="2020"/>
    <x v="7"/>
    <x v="7"/>
  </r>
  <r>
    <s v="2020-09"/>
    <n v="1144825"/>
    <s v="2020"/>
    <x v="8"/>
    <x v="8"/>
  </r>
  <r>
    <s v="2020-10"/>
    <n v="1238169"/>
    <s v="2020"/>
    <x v="9"/>
    <x v="9"/>
  </r>
  <r>
    <s v="2020-11"/>
    <n v="1739783"/>
    <s v="2020"/>
    <x v="10"/>
    <x v="10"/>
  </r>
  <r>
    <s v="2020-12"/>
    <n v="1965877"/>
    <s v="2020"/>
    <x v="11"/>
    <x v="11"/>
  </r>
  <r>
    <s v="2021-01"/>
    <n v="966731"/>
    <s v="2021"/>
    <x v="0"/>
    <x v="0"/>
  </r>
  <r>
    <s v="2021-02"/>
    <n v="893068"/>
    <s v="2021"/>
    <x v="1"/>
    <x v="1"/>
  </r>
  <r>
    <s v="2021-03"/>
    <n v="1171921"/>
    <s v="2021"/>
    <x v="2"/>
    <x v="2"/>
  </r>
  <r>
    <s v="2021-04"/>
    <n v="1204030"/>
    <s v="2021"/>
    <x v="3"/>
    <x v="3"/>
  </r>
  <r>
    <s v="2021-05"/>
    <n v="1335532"/>
    <s v="2021"/>
    <x v="4"/>
    <x v="4"/>
  </r>
  <r>
    <s v="2021-06"/>
    <n v="1249755"/>
    <s v="2021"/>
    <x v="5"/>
    <x v="5"/>
  </r>
  <r>
    <s v="2021-07"/>
    <n v="1349785"/>
    <s v="2021"/>
    <x v="6"/>
    <x v="6"/>
  </r>
  <r>
    <s v="2021-08"/>
    <n v="1320872"/>
    <s v="2021"/>
    <x v="7"/>
    <x v="7"/>
  </r>
  <r>
    <s v="2021-09"/>
    <n v="1164917"/>
    <s v="2021"/>
    <x v="8"/>
    <x v="8"/>
  </r>
  <r>
    <s v="2021-10"/>
    <n v="1314022"/>
    <s v="2021"/>
    <x v="9"/>
    <x v="9"/>
  </r>
  <r>
    <s v="2021-11"/>
    <n v="1739191"/>
    <s v="2021"/>
    <x v="10"/>
    <x v="10"/>
  </r>
  <r>
    <s v="2021-12"/>
    <n v="1994929"/>
    <s v="2021"/>
    <x v="11"/>
    <x v="11"/>
  </r>
  <r>
    <s v="2022-01"/>
    <n v="1105134"/>
    <s v="2022"/>
    <x v="0"/>
    <x v="0"/>
  </r>
  <r>
    <s v="2022-02"/>
    <n v="922661"/>
    <s v="2022"/>
    <x v="1"/>
    <x v="1"/>
  </r>
  <r>
    <s v="2022-03"/>
    <n v="1173047"/>
    <s v="2022"/>
    <x v="2"/>
    <x v="2"/>
  </r>
  <r>
    <s v="2022-04"/>
    <n v="1195168"/>
    <s v="2022"/>
    <x v="3"/>
    <x v="3"/>
  </r>
  <r>
    <s v="2022-05"/>
    <n v="1289175"/>
    <s v="2022"/>
    <x v="4"/>
    <x v="4"/>
  </r>
  <r>
    <s v="2022-06"/>
    <n v="1307459"/>
    <s v="2022"/>
    <x v="5"/>
    <x v="5"/>
  </r>
  <r>
    <s v="2022-07"/>
    <n v="1397256"/>
    <s v="2022"/>
    <x v="6"/>
    <x v="6"/>
  </r>
  <r>
    <s v="2022-08"/>
    <n v="1389825"/>
    <s v="2022"/>
    <x v="7"/>
    <x v="7"/>
  </r>
  <r>
    <s v="2022-09"/>
    <n v="1253385"/>
    <s v="2022"/>
    <x v="8"/>
    <x v="8"/>
  </r>
  <r>
    <s v="2022-10"/>
    <n v="1315062"/>
    <s v="2022"/>
    <x v="9"/>
    <x v="9"/>
  </r>
  <r>
    <s v="2022-11"/>
    <n v="1809088"/>
    <s v="2022"/>
    <x v="10"/>
    <x v="10"/>
  </r>
  <r>
    <s v="2022-12"/>
    <n v="2142083"/>
    <s v="2022"/>
    <x v="11"/>
    <x v="11"/>
  </r>
  <r>
    <s v="2023-01"/>
    <n v="1138403"/>
    <s v="2023"/>
    <x v="0"/>
    <x v="0"/>
  </r>
  <r>
    <s v="2023-02"/>
    <n v="945580"/>
    <s v="2023"/>
    <x v="1"/>
    <x v="1"/>
  </r>
  <r>
    <s v="2023-03"/>
    <n v="1145399"/>
    <s v="2023"/>
    <x v="2"/>
    <x v="2"/>
  </r>
  <r>
    <s v="2023-04"/>
    <n v="1198763"/>
    <s v="2023"/>
    <x v="3"/>
    <x v="3"/>
  </r>
  <r>
    <s v="2023-05"/>
    <n v="1235374"/>
    <s v="2023"/>
    <x v="4"/>
    <x v="4"/>
  </r>
  <r>
    <s v="2023-06"/>
    <n v="1315596"/>
    <s v="2023"/>
    <x v="5"/>
    <x v="5"/>
  </r>
  <r>
    <s v="2023-07"/>
    <n v="1440960"/>
    <s v="2023"/>
    <x v="6"/>
    <x v="6"/>
  </r>
  <r>
    <s v="2023-08"/>
    <n v="1462384"/>
    <s v="2023"/>
    <x v="7"/>
    <x v="7"/>
  </r>
  <r>
    <s v="2023-09"/>
    <n v="1301181"/>
    <s v="2023"/>
    <x v="8"/>
    <x v="8"/>
  </r>
  <r>
    <s v="2023-10"/>
    <n v="1385048"/>
    <s v="2023"/>
    <x v="9"/>
    <x v="9"/>
  </r>
  <r>
    <s v="2023-11"/>
    <n v="1842567"/>
    <s v="2023"/>
    <x v="10"/>
    <x v="10"/>
  </r>
  <r>
    <s v="2023-12"/>
    <n v="2116252"/>
    <s v="2023"/>
    <x v="11"/>
    <x v="11"/>
  </r>
  <r>
    <s v="2024-01"/>
    <n v="1146451"/>
    <s v="2024"/>
    <x v="0"/>
    <x v="0"/>
  </r>
  <r>
    <s v="2024-02"/>
    <n v="1048858"/>
    <s v="2024"/>
    <x v="1"/>
    <x v="1"/>
  </r>
  <r>
    <s v="2024-03"/>
    <n v="1236525"/>
    <s v="2024"/>
    <x v="2"/>
    <x v="2"/>
  </r>
  <r>
    <s v="2024-04"/>
    <n v="1261634"/>
    <s v="2024"/>
    <x v="3"/>
    <x v="3"/>
  </r>
  <r>
    <s v="2024-05"/>
    <n v="1352008"/>
    <s v="2024"/>
    <x v="4"/>
    <x v="4"/>
  </r>
  <r>
    <s v="2024-06"/>
    <n v="1409527"/>
    <s v="2024"/>
    <x v="5"/>
    <x v="5"/>
  </r>
  <r>
    <s v="2024-07"/>
    <n v="1511610"/>
    <s v="2024"/>
    <x v="6"/>
    <x v="6"/>
  </r>
  <r>
    <s v="2024-08"/>
    <n v="1463728"/>
    <s v="2024"/>
    <x v="7"/>
    <x v="7"/>
  </r>
  <r>
    <s v="2024-09"/>
    <n v="1302022"/>
    <s v="2024"/>
    <x v="8"/>
    <x v="8"/>
  </r>
  <r>
    <s v="2024-10"/>
    <n v="1369704"/>
    <s v="2024"/>
    <x v="9"/>
    <x v="9"/>
  </r>
  <r>
    <s v="2024-11"/>
    <n v="1936010"/>
    <s v="2024"/>
    <x v="10"/>
    <x v="10"/>
  </r>
  <r>
    <s v="2024-12"/>
    <n v="2241237"/>
    <s v="2024"/>
    <x v="11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317610"/>
    <n v="8393"/>
    <n v="157"/>
  </r>
  <r>
    <x v="0"/>
    <x v="1"/>
    <n v="1324451"/>
    <n v="8077"/>
    <n v="164"/>
  </r>
  <r>
    <x v="0"/>
    <x v="2"/>
    <n v="1371866"/>
    <n v="8112"/>
    <n v="169"/>
  </r>
  <r>
    <x v="0"/>
    <x v="3"/>
    <n v="1471678"/>
    <n v="8287"/>
    <n v="178"/>
  </r>
  <r>
    <x v="0"/>
    <x v="4"/>
    <n v="1507692"/>
    <n v="8278"/>
    <n v="182"/>
  </r>
  <r>
    <x v="0"/>
    <x v="5"/>
    <n v="1548637"/>
    <n v="8238"/>
    <n v="188"/>
  </r>
  <r>
    <x v="0"/>
    <x v="6"/>
    <n v="1605333"/>
    <n v="8194"/>
    <n v="196"/>
  </r>
  <r>
    <x v="0"/>
    <x v="7"/>
    <n v="1645015"/>
    <n v="8312"/>
    <n v="198"/>
  </r>
  <r>
    <x v="0"/>
    <x v="8"/>
    <n v="1695956"/>
    <n v="8234"/>
    <n v="206"/>
  </r>
  <r>
    <x v="0"/>
    <x v="9"/>
    <n v="1817581"/>
    <n v="8508"/>
    <n v="214"/>
  </r>
  <r>
    <x v="1"/>
    <x v="0"/>
    <n v="1253706"/>
    <n v="8083"/>
    <n v="155"/>
  </r>
  <r>
    <x v="1"/>
    <x v="1"/>
    <n v="1373776"/>
    <n v="8369"/>
    <n v="164"/>
  </r>
  <r>
    <x v="1"/>
    <x v="2"/>
    <n v="1376736"/>
    <n v="8081"/>
    <n v="170"/>
  </r>
  <r>
    <x v="1"/>
    <x v="3"/>
    <n v="1382362"/>
    <n v="7854"/>
    <n v="176"/>
  </r>
  <r>
    <x v="1"/>
    <x v="4"/>
    <n v="1469320"/>
    <n v="8147"/>
    <n v="180"/>
  </r>
  <r>
    <x v="1"/>
    <x v="5"/>
    <n v="1530251"/>
    <n v="8115"/>
    <n v="189"/>
  </r>
  <r>
    <x v="1"/>
    <x v="6"/>
    <n v="1551031"/>
    <n v="7831"/>
    <n v="198"/>
  </r>
  <r>
    <x v="1"/>
    <x v="7"/>
    <n v="1672638"/>
    <n v="8319"/>
    <n v="201"/>
  </r>
  <r>
    <x v="1"/>
    <x v="8"/>
    <n v="1686395"/>
    <n v="8137"/>
    <n v="207"/>
  </r>
  <r>
    <x v="1"/>
    <x v="9"/>
    <n v="1700305"/>
    <n v="7963"/>
    <n v="214"/>
  </r>
  <r>
    <x v="2"/>
    <x v="0"/>
    <n v="1234273"/>
    <n v="7964"/>
    <n v="155"/>
  </r>
  <r>
    <x v="2"/>
    <x v="1"/>
    <n v="1355653"/>
    <n v="8184"/>
    <n v="166"/>
  </r>
  <r>
    <x v="2"/>
    <x v="2"/>
    <n v="1355598"/>
    <n v="8110"/>
    <n v="167"/>
  </r>
  <r>
    <x v="2"/>
    <x v="3"/>
    <n v="1383658"/>
    <n v="7985"/>
    <n v="173"/>
  </r>
  <r>
    <x v="2"/>
    <x v="4"/>
    <n v="1420634"/>
    <n v="7887"/>
    <n v="180"/>
  </r>
  <r>
    <x v="2"/>
    <x v="5"/>
    <n v="1494936"/>
    <n v="8053"/>
    <n v="186"/>
  </r>
  <r>
    <x v="2"/>
    <x v="6"/>
    <n v="1520094"/>
    <n v="7936"/>
    <n v="192"/>
  </r>
  <r>
    <x v="2"/>
    <x v="7"/>
    <n v="1622539"/>
    <n v="8219"/>
    <n v="197"/>
  </r>
  <r>
    <x v="2"/>
    <x v="8"/>
    <n v="1633765"/>
    <n v="7919"/>
    <n v="206"/>
  </r>
  <r>
    <x v="2"/>
    <x v="9"/>
    <n v="1701288"/>
    <n v="8173"/>
    <n v="208"/>
  </r>
  <r>
    <x v="3"/>
    <x v="0"/>
    <n v="1262052"/>
    <n v="8034"/>
    <n v="157"/>
  </r>
  <r>
    <x v="3"/>
    <x v="1"/>
    <n v="1304840"/>
    <n v="7989"/>
    <n v="163"/>
  </r>
  <r>
    <x v="3"/>
    <x v="2"/>
    <n v="1370490"/>
    <n v="8218"/>
    <n v="167"/>
  </r>
  <r>
    <x v="3"/>
    <x v="3"/>
    <n v="1435462"/>
    <n v="8207"/>
    <n v="175"/>
  </r>
  <r>
    <x v="3"/>
    <x v="4"/>
    <n v="1431340"/>
    <n v="7857"/>
    <n v="182"/>
  </r>
  <r>
    <x v="3"/>
    <x v="5"/>
    <n v="1524017"/>
    <n v="8135"/>
    <n v="187"/>
  </r>
  <r>
    <x v="3"/>
    <x v="6"/>
    <n v="1558750"/>
    <n v="8022"/>
    <n v="194"/>
  </r>
  <r>
    <x v="3"/>
    <x v="7"/>
    <n v="1659344"/>
    <n v="8171"/>
    <n v="203"/>
  </r>
  <r>
    <x v="3"/>
    <x v="8"/>
    <n v="1668692"/>
    <n v="8107"/>
    <n v="206"/>
  </r>
  <r>
    <x v="3"/>
    <x v="9"/>
    <n v="1761184"/>
    <n v="8300"/>
    <n v="212"/>
  </r>
  <r>
    <x v="4"/>
    <x v="0"/>
    <n v="1247880"/>
    <n v="7968"/>
    <n v="157"/>
  </r>
  <r>
    <x v="4"/>
    <x v="1"/>
    <n v="1295580"/>
    <n v="8106"/>
    <n v="160"/>
  </r>
  <r>
    <x v="4"/>
    <x v="2"/>
    <n v="1348484"/>
    <n v="7990"/>
    <n v="169"/>
  </r>
  <r>
    <x v="4"/>
    <x v="3"/>
    <n v="1388731"/>
    <n v="7905"/>
    <n v="176"/>
  </r>
  <r>
    <x v="4"/>
    <x v="4"/>
    <n v="1470936"/>
    <n v="8123"/>
    <n v="181"/>
  </r>
  <r>
    <x v="4"/>
    <x v="5"/>
    <n v="1447741"/>
    <n v="7745"/>
    <n v="187"/>
  </r>
  <r>
    <x v="4"/>
    <x v="6"/>
    <n v="1555228"/>
    <n v="8007"/>
    <n v="194"/>
  </r>
  <r>
    <x v="4"/>
    <x v="7"/>
    <n v="1678954"/>
    <n v="8397"/>
    <n v="200"/>
  </r>
  <r>
    <x v="4"/>
    <x v="8"/>
    <n v="1675743"/>
    <n v="8137"/>
    <n v="206"/>
  </r>
  <r>
    <x v="4"/>
    <x v="9"/>
    <n v="1705908"/>
    <n v="8099"/>
    <n v="211"/>
  </r>
  <r>
    <x v="5"/>
    <x v="0"/>
    <n v="1243909"/>
    <n v="8118"/>
    <n v="153"/>
  </r>
  <r>
    <x v="5"/>
    <x v="1"/>
    <n v="1357264"/>
    <n v="8232"/>
    <n v="165"/>
  </r>
  <r>
    <x v="5"/>
    <x v="2"/>
    <n v="1445253"/>
    <n v="8484"/>
    <n v="170"/>
  </r>
  <r>
    <x v="5"/>
    <x v="3"/>
    <n v="1464824"/>
    <n v="8350"/>
    <n v="175"/>
  </r>
  <r>
    <x v="5"/>
    <x v="4"/>
    <n v="1438195"/>
    <n v="7976"/>
    <n v="180"/>
  </r>
  <r>
    <x v="5"/>
    <x v="5"/>
    <n v="1526411"/>
    <n v="8160"/>
    <n v="187"/>
  </r>
  <r>
    <x v="5"/>
    <x v="6"/>
    <n v="1592162"/>
    <n v="8218"/>
    <n v="194"/>
  </r>
  <r>
    <x v="5"/>
    <x v="7"/>
    <n v="1595004"/>
    <n v="8121"/>
    <n v="196"/>
  </r>
  <r>
    <x v="5"/>
    <x v="8"/>
    <n v="1594773"/>
    <n v="7664"/>
    <n v="208"/>
  </r>
  <r>
    <x v="5"/>
    <x v="9"/>
    <n v="1687275"/>
    <n v="7936"/>
    <n v="213"/>
  </r>
  <r>
    <x v="6"/>
    <x v="0"/>
    <n v="1293041"/>
    <n v="8252"/>
    <n v="157"/>
  </r>
  <r>
    <x v="6"/>
    <x v="1"/>
    <n v="1360459"/>
    <n v="8315"/>
    <n v="164"/>
  </r>
  <r>
    <x v="6"/>
    <x v="2"/>
    <n v="1429708"/>
    <n v="8453"/>
    <n v="169"/>
  </r>
  <r>
    <x v="6"/>
    <x v="3"/>
    <n v="1373556"/>
    <n v="8078"/>
    <n v="170"/>
  </r>
  <r>
    <x v="6"/>
    <x v="4"/>
    <n v="1449808"/>
    <n v="7960"/>
    <n v="182"/>
  </r>
  <r>
    <x v="6"/>
    <x v="5"/>
    <n v="1545348"/>
    <n v="8112"/>
    <n v="191"/>
  </r>
  <r>
    <x v="6"/>
    <x v="6"/>
    <n v="1565137"/>
    <n v="8151"/>
    <n v="192"/>
  </r>
  <r>
    <x v="6"/>
    <x v="7"/>
    <n v="1566935"/>
    <n v="7857"/>
    <n v="199"/>
  </r>
  <r>
    <x v="6"/>
    <x v="8"/>
    <n v="1680375"/>
    <n v="8073"/>
    <n v="208"/>
  </r>
  <r>
    <x v="6"/>
    <x v="9"/>
    <n v="1707697"/>
    <n v="8072"/>
    <n v="212"/>
  </r>
  <r>
    <x v="7"/>
    <x v="0"/>
    <n v="1254207"/>
    <n v="8079"/>
    <n v="155"/>
  </r>
  <r>
    <x v="7"/>
    <x v="1"/>
    <n v="1339407"/>
    <n v="8290"/>
    <n v="162"/>
  </r>
  <r>
    <x v="7"/>
    <x v="2"/>
    <n v="1359014"/>
    <n v="8052"/>
    <n v="169"/>
  </r>
  <r>
    <x v="7"/>
    <x v="3"/>
    <n v="1441408"/>
    <n v="8217"/>
    <n v="175"/>
  </r>
  <r>
    <x v="7"/>
    <x v="4"/>
    <n v="1537446"/>
    <n v="8402"/>
    <n v="183"/>
  </r>
  <r>
    <x v="7"/>
    <x v="5"/>
    <n v="1553193"/>
    <n v="8181"/>
    <n v="190"/>
  </r>
  <r>
    <x v="7"/>
    <x v="6"/>
    <n v="1596376"/>
    <n v="8218"/>
    <n v="194"/>
  </r>
  <r>
    <x v="7"/>
    <x v="7"/>
    <n v="1662421"/>
    <n v="8307"/>
    <n v="200"/>
  </r>
  <r>
    <x v="7"/>
    <x v="8"/>
    <n v="1642453"/>
    <n v="7939"/>
    <n v="207"/>
  </r>
  <r>
    <x v="7"/>
    <x v="9"/>
    <n v="1767499"/>
    <n v="8270"/>
    <n v="214"/>
  </r>
  <r>
    <x v="8"/>
    <x v="0"/>
    <n v="1249920"/>
    <n v="8066"/>
    <n v="155"/>
  </r>
  <r>
    <x v="8"/>
    <x v="1"/>
    <n v="1281008"/>
    <n v="7932"/>
    <n v="161"/>
  </r>
  <r>
    <x v="8"/>
    <x v="2"/>
    <n v="1340291"/>
    <n v="7906"/>
    <n v="170"/>
  </r>
  <r>
    <x v="8"/>
    <x v="3"/>
    <n v="1377107"/>
    <n v="7818"/>
    <n v="176"/>
  </r>
  <r>
    <x v="8"/>
    <x v="4"/>
    <n v="1489797"/>
    <n v="8305"/>
    <n v="179"/>
  </r>
  <r>
    <x v="8"/>
    <x v="5"/>
    <n v="1502540"/>
    <n v="7958"/>
    <n v="189"/>
  </r>
  <r>
    <x v="8"/>
    <x v="6"/>
    <n v="1593482"/>
    <n v="8304"/>
    <n v="192"/>
  </r>
  <r>
    <x v="8"/>
    <x v="7"/>
    <n v="1615491"/>
    <n v="8062"/>
    <n v="200"/>
  </r>
  <r>
    <x v="8"/>
    <x v="8"/>
    <n v="1625634"/>
    <n v="7827"/>
    <n v="208"/>
  </r>
  <r>
    <x v="8"/>
    <x v="9"/>
    <n v="1727370"/>
    <n v="8195"/>
    <n v="211"/>
  </r>
  <r>
    <x v="9"/>
    <x v="0"/>
    <n v="1259119"/>
    <n v="8123"/>
    <n v="155"/>
  </r>
  <r>
    <x v="9"/>
    <x v="1"/>
    <n v="1340162"/>
    <n v="8161"/>
    <n v="164"/>
  </r>
  <r>
    <x v="9"/>
    <x v="2"/>
    <n v="1327504"/>
    <n v="7994"/>
    <n v="166"/>
  </r>
  <r>
    <x v="9"/>
    <x v="3"/>
    <n v="1406944"/>
    <n v="7915"/>
    <n v="178"/>
  </r>
  <r>
    <x v="9"/>
    <x v="4"/>
    <n v="1532530"/>
    <n v="8352"/>
    <n v="183"/>
  </r>
  <r>
    <x v="9"/>
    <x v="5"/>
    <n v="1496923"/>
    <n v="8027"/>
    <n v="186"/>
  </r>
  <r>
    <x v="9"/>
    <x v="6"/>
    <n v="1567160"/>
    <n v="8160"/>
    <n v="192"/>
  </r>
  <r>
    <x v="9"/>
    <x v="7"/>
    <n v="1581002"/>
    <n v="7928"/>
    <n v="199"/>
  </r>
  <r>
    <x v="9"/>
    <x v="8"/>
    <n v="1623721"/>
    <n v="7900"/>
    <n v="206"/>
  </r>
  <r>
    <x v="9"/>
    <x v="9"/>
    <n v="1703207"/>
    <n v="8098"/>
    <n v="2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928BD-5102-4B5F-B40B-A1609D64EF5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L13" firstHeaderRow="1" firstDataRow="2" firstDataCol="1"/>
  <pivotFields count="5"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quantity" fld="3" baseField="0" baseItem="0"/>
  </dataFields>
  <chartFormats count="25">
    <chartFormat chart="1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" format="3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1" format="3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1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1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1" format="3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1" format="3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1" format="3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1" format="3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4" format="1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4" format="1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4" format="13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4" format="13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4" format="1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4" format="1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4" format="13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4" format="13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4" format="13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4" format="13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4" format="1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FC461-0707-4A90-87AA-CD5CC78A072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D14" firstHeaderRow="0" firstDataRow="1" firstDataCol="1"/>
  <pivotFields count="5">
    <pivotField showAll="0"/>
    <pivotField dataField="1" numFmtId="3" showAll="0"/>
    <pivotField showAll="0"/>
    <pivotField axis="axisRow" showAll="0" sortType="ascending">
      <items count="13">
        <item x="2"/>
        <item x="3"/>
        <item x="7"/>
        <item x="11"/>
        <item x="1"/>
        <item x="0"/>
        <item x="6"/>
        <item x="5"/>
        <item x="4"/>
        <item x="10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13">
    <i>
      <x v="5"/>
    </i>
    <i>
      <x v="4"/>
    </i>
    <i>
      <x/>
    </i>
    <i>
      <x v="1"/>
    </i>
    <i>
      <x v="8"/>
    </i>
    <i>
      <x v="7"/>
    </i>
    <i>
      <x v="6"/>
    </i>
    <i>
      <x v="2"/>
    </i>
    <i>
      <x v="11"/>
    </i>
    <i>
      <x v="10"/>
    </i>
    <i>
      <x v="9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venue" fld="1" subtotal="average" baseField="4" baseItem="3" numFmtId="3"/>
    <dataField name="Sum of revenue" fld="1" showDataAs="percentOfTotal" baseField="3" baseItem="5" numFmtId="10"/>
    <dataField name="Min of month_num" fld="4" subtotal="min" baseField="3" baseItem="0"/>
  </dataFields>
  <formats count="1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FA5C58-F11E-4FB5-AF3A-E3978E595C1B}" name="Table5" displayName="Table5" ref="A1:G11" totalsRowShown="0" headerRowDxfId="1" dataDxfId="2" dataCellStyle="Percent">
  <autoFilter ref="A1:G11" xr:uid="{D5FA5C58-F11E-4FB5-AF3A-E3978E595C1B}"/>
  <tableColumns count="7">
    <tableColumn id="1" xr3:uid="{DA26DA34-C066-42D2-A692-29D49F2EB512}" name="year"/>
    <tableColumn id="2" xr3:uid="{66E70E99-50F0-485E-AFE1-D5EC1A5B3D59}" name="revenue"/>
    <tableColumn id="3" xr3:uid="{B59F32FC-9696-496D-9346-58141CFC4FC0}" name="YoY" dataDxfId="7" dataCellStyle="Percent">
      <calculatedColumnFormula>(B2-B1)/B1</calculatedColumnFormula>
    </tableColumn>
    <tableColumn id="4" xr3:uid="{B9DCC273-0C84-4B7B-84DE-C8DC4E20AD3B}" name="total_quantity" dataDxfId="6"/>
    <tableColumn id="5" xr3:uid="{0C914103-5959-462E-B45B-FF82B02417B5}" name="YoY_quantity" dataDxfId="5" dataCellStyle="Percent">
      <calculatedColumnFormula>(D2-D1)/D1</calculatedColumnFormula>
    </tableColumn>
    <tableColumn id="6" xr3:uid="{B6343878-5AE5-4633-8A3E-901DBF7A80F2}" name="avg_price" dataDxfId="4"/>
    <tableColumn id="7" xr3:uid="{2C0F3502-BDEC-4BBB-B842-B727F9E34863}" name="YoY_avg_price" dataDxfId="3" dataCellStyle="Percent">
      <calculatedColumnFormula>(F2-F1)/F1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401017-B36F-4CD9-B145-ADBF821A9A11}" name="Table3" displayName="Table3" ref="A1:E101" totalsRowShown="0">
  <autoFilter ref="A1:E101" xr:uid="{BC401017-B36F-4CD9-B145-ADBF821A9A11}"/>
  <tableColumns count="5">
    <tableColumn id="1" xr3:uid="{6EC3ED99-EE15-4668-9D33-74C2B9387027}" name="country_clean"/>
    <tableColumn id="2" xr3:uid="{C129B2D1-18EA-4FF7-BBCF-BC77C874792B}" name="year"/>
    <tableColumn id="3" xr3:uid="{C42836D6-B339-4CCF-BD6E-24FC0B16E0B6}" name="revenue"/>
    <tableColumn id="4" xr3:uid="{C68DBECC-5A7E-49E6-9AF2-4AA138E72EFC}" name="total_quantity"/>
    <tableColumn id="5" xr3:uid="{58C6B199-CFA5-4698-B306-66B77E644E68}" name="avg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75E3B4-946B-43C4-953B-27FD947671C0}" name="Table6" displayName="Table6" ref="A1:B11" totalsRowShown="0">
  <autoFilter ref="A1:B11" xr:uid="{C675E3B4-946B-43C4-953B-27FD947671C0}"/>
  <tableColumns count="2">
    <tableColumn id="1" xr3:uid="{599B24C7-EDDB-4F50-A5C0-14BBC43C1BFF}" name="country"/>
    <tableColumn id="2" xr3:uid="{B8BDDA35-FD5B-4A9A-96E1-62865EBEEA3A}" name="total_quantity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BEB189-878B-4269-9E1A-1DD87A0D1400}" name="Table2" displayName="Table2" ref="A1:E121" totalsRowShown="0">
  <autoFilter ref="A1:E121" xr:uid="{96BEB189-878B-4269-9E1A-1DD87A0D1400}"/>
  <tableColumns count="5">
    <tableColumn id="1" xr3:uid="{FCC91C89-C0C3-4316-B22B-8053461E4997}" name="month"/>
    <tableColumn id="2" xr3:uid="{05CB6448-14EB-40AA-A1CB-C117F7246FEF}" name="revenue" dataDxfId="12"/>
    <tableColumn id="3" xr3:uid="{9507629B-2922-4072-A23A-4ECFF02D2E3E}" name="year" dataDxfId="11">
      <calculatedColumnFormula>LEFT(A2,4)</calculatedColumnFormula>
    </tableColumn>
    <tableColumn id="4" xr3:uid="{A35F9EA1-31F8-4E50-90EC-0E4F9FFC10CD}" name="month_name" dataDxfId="10">
      <calculatedColumnFormula>TEXT(DATEVALUE(A2&amp;"-01"),"[$-en-US]mmm")</calculatedColumnFormula>
    </tableColumn>
    <tableColumn id="5" xr3:uid="{DFBD7E9F-0663-4550-AE9F-91EE8FF768D3}" name="month_num" dataDxfId="9">
      <calculatedColumnFormula>MONTH(DATEVALUE(A2&amp;"-01"))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5FD1-E3A3-4597-A116-E0AF9DE2588E}">
  <dimension ref="A1:P33"/>
  <sheetViews>
    <sheetView tabSelected="1" workbookViewId="0">
      <selection activeCell="C3" sqref="C3"/>
    </sheetView>
  </sheetViews>
  <sheetFormatPr defaultRowHeight="14.4" x14ac:dyDescent="0.3"/>
  <cols>
    <col min="2" max="2" width="11.5546875" bestFit="1" customWidth="1"/>
    <col min="4" max="4" width="14.44140625" customWidth="1"/>
    <col min="5" max="5" width="13.5546875" customWidth="1"/>
    <col min="6" max="6" width="10.77734375" customWidth="1"/>
    <col min="7" max="7" width="14.5546875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2015</v>
      </c>
      <c r="B2">
        <v>12615717</v>
      </c>
      <c r="C2" s="12">
        <v>0</v>
      </c>
      <c r="D2" s="1">
        <v>81080</v>
      </c>
      <c r="E2" s="13">
        <v>0</v>
      </c>
      <c r="F2" s="1">
        <v>156</v>
      </c>
      <c r="G2" s="13">
        <v>0</v>
      </c>
    </row>
    <row r="3" spans="1:7" x14ac:dyDescent="0.3">
      <c r="A3">
        <v>2016</v>
      </c>
      <c r="B3">
        <v>13332600</v>
      </c>
      <c r="C3" s="12">
        <f>(B3-B2)/B2</f>
        <v>5.6824594273952089E-2</v>
      </c>
      <c r="D3" s="1">
        <v>81655</v>
      </c>
      <c r="E3" s="12">
        <f>(D3-D2)/D2</f>
        <v>7.0917612234829798E-3</v>
      </c>
      <c r="F3" s="1">
        <v>163</v>
      </c>
      <c r="G3" s="12">
        <f>(F3-F2)/F2</f>
        <v>4.4871794871794872E-2</v>
      </c>
    </row>
    <row r="4" spans="1:7" x14ac:dyDescent="0.3">
      <c r="A4">
        <v>2017</v>
      </c>
      <c r="B4">
        <v>13724944</v>
      </c>
      <c r="C4" s="12">
        <f t="shared" ref="C4:E4" si="0">(B4-B3)/B3</f>
        <v>2.9427418508017941E-2</v>
      </c>
      <c r="D4" s="1">
        <v>81400</v>
      </c>
      <c r="E4" s="12">
        <f t="shared" ref="E4:G4" si="1">(D4-D3)/D3</f>
        <v>-3.1228951074643318E-3</v>
      </c>
      <c r="F4" s="1">
        <v>169</v>
      </c>
      <c r="G4" s="12">
        <f t="shared" ref="G4:G11" si="2">(F4-F3)/F3</f>
        <v>3.6809815950920248E-2</v>
      </c>
    </row>
    <row r="5" spans="1:7" x14ac:dyDescent="0.3">
      <c r="A5">
        <v>2018</v>
      </c>
      <c r="B5">
        <v>14125730</v>
      </c>
      <c r="C5" s="12">
        <f t="shared" ref="C5:E5" si="3">(B5-B4)/B4</f>
        <v>2.9201284901417449E-2</v>
      </c>
      <c r="D5" s="1">
        <v>80616</v>
      </c>
      <c r="E5" s="12">
        <f t="shared" ref="E5:G5" si="4">(D5-D4)/D4</f>
        <v>-9.6314496314496307E-3</v>
      </c>
      <c r="F5" s="1">
        <v>175</v>
      </c>
      <c r="G5" s="12">
        <f t="shared" si="2"/>
        <v>3.5502958579881658E-2</v>
      </c>
    </row>
    <row r="6" spans="1:7" x14ac:dyDescent="0.3">
      <c r="A6">
        <v>2019</v>
      </c>
      <c r="B6">
        <v>14747698</v>
      </c>
      <c r="C6" s="12">
        <f t="shared" ref="C6:E6" si="5">(B6-B5)/B5</f>
        <v>4.4030857166319902E-2</v>
      </c>
      <c r="D6" s="1">
        <v>81287</v>
      </c>
      <c r="E6" s="12">
        <f t="shared" ref="E6:G6" si="6">(D6-D5)/D5</f>
        <v>8.3234097449637785E-3</v>
      </c>
      <c r="F6" s="1">
        <v>181</v>
      </c>
      <c r="G6" s="12">
        <f t="shared" si="2"/>
        <v>3.4285714285714287E-2</v>
      </c>
    </row>
    <row r="7" spans="1:7" x14ac:dyDescent="0.3">
      <c r="A7">
        <v>2020</v>
      </c>
      <c r="B7">
        <v>15169997</v>
      </c>
      <c r="C7" s="12">
        <f t="shared" ref="C7:E7" si="7">(B7-B6)/B6</f>
        <v>2.8634909665223685E-2</v>
      </c>
      <c r="D7" s="1">
        <v>80724</v>
      </c>
      <c r="E7" s="12">
        <f t="shared" ref="E7:G7" si="8">(D7-D6)/D6</f>
        <v>-6.9260767404382001E-3</v>
      </c>
      <c r="F7" s="1">
        <v>188</v>
      </c>
      <c r="G7" s="12">
        <f t="shared" si="2"/>
        <v>3.8674033149171269E-2</v>
      </c>
    </row>
    <row r="8" spans="1:7" x14ac:dyDescent="0.3">
      <c r="A8">
        <v>2021</v>
      </c>
      <c r="B8">
        <v>15704753</v>
      </c>
      <c r="C8" s="12">
        <f t="shared" ref="C8:E8" si="9">(B8-B7)/B7</f>
        <v>3.5250896885477299E-2</v>
      </c>
      <c r="D8" s="1">
        <v>81041</v>
      </c>
      <c r="E8" s="12">
        <f t="shared" ref="E8:G8" si="10">(D8-D7)/D7</f>
        <v>3.9269610029235421E-3</v>
      </c>
      <c r="F8" s="1">
        <v>194</v>
      </c>
      <c r="G8" s="12">
        <f t="shared" si="2"/>
        <v>3.1914893617021274E-2</v>
      </c>
    </row>
    <row r="9" spans="1:7" x14ac:dyDescent="0.3">
      <c r="A9">
        <v>2022</v>
      </c>
      <c r="B9">
        <v>16299343</v>
      </c>
      <c r="C9" s="12">
        <f t="shared" ref="C9:E9" si="11">(B9-B8)/B8</f>
        <v>3.7860512674092996E-2</v>
      </c>
      <c r="D9" s="1">
        <v>81693</v>
      </c>
      <c r="E9" s="12">
        <f t="shared" ref="E9:G9" si="12">(D9-D8)/D8</f>
        <v>8.0453103984402963E-3</v>
      </c>
      <c r="F9" s="1">
        <v>200</v>
      </c>
      <c r="G9" s="12">
        <f t="shared" si="2"/>
        <v>3.0927835051546393E-2</v>
      </c>
    </row>
    <row r="10" spans="1:7" x14ac:dyDescent="0.3">
      <c r="A10">
        <v>2023</v>
      </c>
      <c r="B10">
        <v>16527507</v>
      </c>
      <c r="C10" s="12">
        <f t="shared" ref="C10:E10" si="13">(B10-B9)/B9</f>
        <v>1.3998355639242637E-2</v>
      </c>
      <c r="D10" s="1">
        <v>79937</v>
      </c>
      <c r="E10" s="12">
        <f t="shared" ref="E10:G10" si="14">(D10-D9)/D9</f>
        <v>-2.1495109740124613E-2</v>
      </c>
      <c r="F10" s="1">
        <v>207</v>
      </c>
      <c r="G10" s="12">
        <f t="shared" si="2"/>
        <v>3.5000000000000003E-2</v>
      </c>
    </row>
    <row r="11" spans="1:7" x14ac:dyDescent="0.3">
      <c r="A11">
        <v>2024</v>
      </c>
      <c r="B11">
        <v>17279314</v>
      </c>
      <c r="C11" s="12">
        <f t="shared" ref="C11:E11" si="15">(B11-B10)/B10</f>
        <v>4.5488227595365714E-2</v>
      </c>
      <c r="D11">
        <v>81614</v>
      </c>
      <c r="E11" s="12">
        <f t="shared" ref="E11:G11" si="16">(D11-D10)/D10</f>
        <v>2.097902097902098E-2</v>
      </c>
      <c r="F11">
        <v>212</v>
      </c>
      <c r="G11" s="12">
        <f t="shared" si="2"/>
        <v>2.4154589371980676E-2</v>
      </c>
    </row>
    <row r="22" spans="12:16" x14ac:dyDescent="0.3">
      <c r="M22" s="1"/>
      <c r="N22" s="1"/>
      <c r="O22" s="1"/>
      <c r="P22" s="1"/>
    </row>
    <row r="23" spans="12:16" x14ac:dyDescent="0.3">
      <c r="M23" s="1"/>
      <c r="N23" s="1"/>
      <c r="O23" s="1"/>
      <c r="P23" s="1"/>
    </row>
    <row r="24" spans="12:16" x14ac:dyDescent="0.3">
      <c r="L24" s="12"/>
      <c r="M24" s="1"/>
      <c r="N24" s="13"/>
      <c r="O24" s="1"/>
      <c r="P24" s="13"/>
    </row>
    <row r="25" spans="12:16" x14ac:dyDescent="0.3">
      <c r="L25" s="12"/>
      <c r="M25" s="1"/>
      <c r="N25" s="12"/>
      <c r="O25" s="1"/>
      <c r="P25" s="12"/>
    </row>
    <row r="26" spans="12:16" x14ac:dyDescent="0.3">
      <c r="L26" s="12"/>
      <c r="M26" s="1"/>
      <c r="N26" s="12"/>
      <c r="O26" s="1"/>
      <c r="P26" s="12"/>
    </row>
    <row r="27" spans="12:16" x14ac:dyDescent="0.3">
      <c r="L27" s="12"/>
      <c r="M27" s="1"/>
      <c r="N27" s="12"/>
      <c r="O27" s="1"/>
      <c r="P27" s="12"/>
    </row>
    <row r="28" spans="12:16" x14ac:dyDescent="0.3">
      <c r="L28" s="12"/>
      <c r="M28" s="1"/>
      <c r="N28" s="12"/>
      <c r="O28" s="1"/>
      <c r="P28" s="12"/>
    </row>
    <row r="29" spans="12:16" x14ac:dyDescent="0.3">
      <c r="L29" s="12"/>
      <c r="M29" s="1"/>
      <c r="N29" s="12"/>
      <c r="O29" s="1"/>
      <c r="P29" s="12"/>
    </row>
    <row r="30" spans="12:16" x14ac:dyDescent="0.3">
      <c r="L30" s="12"/>
      <c r="M30" s="1"/>
      <c r="N30" s="12"/>
      <c r="O30" s="1"/>
      <c r="P30" s="12"/>
    </row>
    <row r="31" spans="12:16" x14ac:dyDescent="0.3">
      <c r="L31" s="12"/>
      <c r="M31" s="1"/>
      <c r="N31" s="12"/>
      <c r="O31" s="1"/>
      <c r="P31" s="12"/>
    </row>
    <row r="32" spans="12:16" x14ac:dyDescent="0.3">
      <c r="L32" s="12"/>
      <c r="M32" s="1"/>
      <c r="N32" s="12"/>
      <c r="O32" s="1"/>
      <c r="P32" s="12"/>
    </row>
    <row r="33" spans="12:16" x14ac:dyDescent="0.3">
      <c r="L33" s="12"/>
      <c r="N33" s="12"/>
      <c r="P33" s="1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847C-AC15-45FD-BFA9-E6ED3CC63492}">
  <dimension ref="A1:E101"/>
  <sheetViews>
    <sheetView workbookViewId="0">
      <selection activeCell="G15" sqref="G15"/>
    </sheetView>
  </sheetViews>
  <sheetFormatPr defaultRowHeight="14.4" x14ac:dyDescent="0.3"/>
  <cols>
    <col min="1" max="1" width="14.44140625" customWidth="1"/>
    <col min="3" max="3" width="9.44140625" customWidth="1"/>
    <col min="4" max="4" width="14.44140625" customWidth="1"/>
    <col min="5" max="5" width="10.77734375" customWidth="1"/>
  </cols>
  <sheetData>
    <row r="1" spans="1:5" x14ac:dyDescent="0.3">
      <c r="A1" t="s">
        <v>159</v>
      </c>
      <c r="B1" t="s">
        <v>0</v>
      </c>
      <c r="C1" t="s">
        <v>1</v>
      </c>
      <c r="D1" t="s">
        <v>3</v>
      </c>
      <c r="E1" t="s">
        <v>5</v>
      </c>
    </row>
    <row r="2" spans="1:5" x14ac:dyDescent="0.3">
      <c r="A2" t="s">
        <v>149</v>
      </c>
      <c r="B2">
        <v>2015</v>
      </c>
      <c r="C2">
        <v>1317610</v>
      </c>
      <c r="D2">
        <v>8393</v>
      </c>
      <c r="E2">
        <v>157</v>
      </c>
    </row>
    <row r="3" spans="1:5" x14ac:dyDescent="0.3">
      <c r="A3" t="s">
        <v>149</v>
      </c>
      <c r="B3">
        <v>2016</v>
      </c>
      <c r="C3">
        <v>1324451</v>
      </c>
      <c r="D3">
        <v>8077</v>
      </c>
      <c r="E3">
        <v>164</v>
      </c>
    </row>
    <row r="4" spans="1:5" x14ac:dyDescent="0.3">
      <c r="A4" t="s">
        <v>149</v>
      </c>
      <c r="B4">
        <v>2017</v>
      </c>
      <c r="C4">
        <v>1371866</v>
      </c>
      <c r="D4">
        <v>8112</v>
      </c>
      <c r="E4">
        <v>169</v>
      </c>
    </row>
    <row r="5" spans="1:5" x14ac:dyDescent="0.3">
      <c r="A5" t="s">
        <v>149</v>
      </c>
      <c r="B5">
        <v>2018</v>
      </c>
      <c r="C5">
        <v>1471678</v>
      </c>
      <c r="D5">
        <v>8287</v>
      </c>
      <c r="E5">
        <v>178</v>
      </c>
    </row>
    <row r="6" spans="1:5" x14ac:dyDescent="0.3">
      <c r="A6" t="s">
        <v>149</v>
      </c>
      <c r="B6">
        <v>2019</v>
      </c>
      <c r="C6">
        <v>1507692</v>
      </c>
      <c r="D6">
        <v>8278</v>
      </c>
      <c r="E6">
        <v>182</v>
      </c>
    </row>
    <row r="7" spans="1:5" x14ac:dyDescent="0.3">
      <c r="A7" t="s">
        <v>149</v>
      </c>
      <c r="B7">
        <v>2020</v>
      </c>
      <c r="C7">
        <v>1548637</v>
      </c>
      <c r="D7">
        <v>8238</v>
      </c>
      <c r="E7">
        <v>188</v>
      </c>
    </row>
    <row r="8" spans="1:5" x14ac:dyDescent="0.3">
      <c r="A8" t="s">
        <v>149</v>
      </c>
      <c r="B8">
        <v>2021</v>
      </c>
      <c r="C8">
        <v>1605333</v>
      </c>
      <c r="D8">
        <v>8194</v>
      </c>
      <c r="E8">
        <v>196</v>
      </c>
    </row>
    <row r="9" spans="1:5" x14ac:dyDescent="0.3">
      <c r="A9" t="s">
        <v>149</v>
      </c>
      <c r="B9">
        <v>2022</v>
      </c>
      <c r="C9">
        <v>1645015</v>
      </c>
      <c r="D9">
        <v>8312</v>
      </c>
      <c r="E9">
        <v>198</v>
      </c>
    </row>
    <row r="10" spans="1:5" x14ac:dyDescent="0.3">
      <c r="A10" t="s">
        <v>149</v>
      </c>
      <c r="B10">
        <v>2023</v>
      </c>
      <c r="C10">
        <v>1695956</v>
      </c>
      <c r="D10">
        <v>8234</v>
      </c>
      <c r="E10">
        <v>206</v>
      </c>
    </row>
    <row r="11" spans="1:5" x14ac:dyDescent="0.3">
      <c r="A11" t="s">
        <v>149</v>
      </c>
      <c r="B11">
        <v>2024</v>
      </c>
      <c r="C11">
        <v>1817581</v>
      </c>
      <c r="D11">
        <v>8508</v>
      </c>
      <c r="E11">
        <v>214</v>
      </c>
    </row>
    <row r="12" spans="1:5" x14ac:dyDescent="0.3">
      <c r="A12" t="s">
        <v>150</v>
      </c>
      <c r="B12">
        <v>2015</v>
      </c>
      <c r="C12">
        <v>1253706</v>
      </c>
      <c r="D12">
        <v>8083</v>
      </c>
      <c r="E12">
        <v>155</v>
      </c>
    </row>
    <row r="13" spans="1:5" x14ac:dyDescent="0.3">
      <c r="A13" t="s">
        <v>150</v>
      </c>
      <c r="B13">
        <v>2016</v>
      </c>
      <c r="C13">
        <v>1373776</v>
      </c>
      <c r="D13">
        <v>8369</v>
      </c>
      <c r="E13">
        <v>164</v>
      </c>
    </row>
    <row r="14" spans="1:5" x14ac:dyDescent="0.3">
      <c r="A14" t="s">
        <v>150</v>
      </c>
      <c r="B14">
        <v>2017</v>
      </c>
      <c r="C14">
        <v>1376736</v>
      </c>
      <c r="D14">
        <v>8081</v>
      </c>
      <c r="E14">
        <v>170</v>
      </c>
    </row>
    <row r="15" spans="1:5" x14ac:dyDescent="0.3">
      <c r="A15" t="s">
        <v>150</v>
      </c>
      <c r="B15">
        <v>2018</v>
      </c>
      <c r="C15">
        <v>1382362</v>
      </c>
      <c r="D15">
        <v>7854</v>
      </c>
      <c r="E15">
        <v>176</v>
      </c>
    </row>
    <row r="16" spans="1:5" x14ac:dyDescent="0.3">
      <c r="A16" t="s">
        <v>150</v>
      </c>
      <c r="B16">
        <v>2019</v>
      </c>
      <c r="C16">
        <v>1469320</v>
      </c>
      <c r="D16">
        <v>8147</v>
      </c>
      <c r="E16">
        <v>180</v>
      </c>
    </row>
    <row r="17" spans="1:5" x14ac:dyDescent="0.3">
      <c r="A17" t="s">
        <v>150</v>
      </c>
      <c r="B17">
        <v>2020</v>
      </c>
      <c r="C17">
        <v>1530251</v>
      </c>
      <c r="D17">
        <v>8115</v>
      </c>
      <c r="E17">
        <v>189</v>
      </c>
    </row>
    <row r="18" spans="1:5" x14ac:dyDescent="0.3">
      <c r="A18" t="s">
        <v>150</v>
      </c>
      <c r="B18">
        <v>2021</v>
      </c>
      <c r="C18">
        <v>1551031</v>
      </c>
      <c r="D18">
        <v>7831</v>
      </c>
      <c r="E18">
        <v>198</v>
      </c>
    </row>
    <row r="19" spans="1:5" x14ac:dyDescent="0.3">
      <c r="A19" t="s">
        <v>150</v>
      </c>
      <c r="B19">
        <v>2022</v>
      </c>
      <c r="C19">
        <v>1672638</v>
      </c>
      <c r="D19">
        <v>8319</v>
      </c>
      <c r="E19">
        <v>201</v>
      </c>
    </row>
    <row r="20" spans="1:5" x14ac:dyDescent="0.3">
      <c r="A20" t="s">
        <v>150</v>
      </c>
      <c r="B20">
        <v>2023</v>
      </c>
      <c r="C20">
        <v>1686395</v>
      </c>
      <c r="D20">
        <v>8137</v>
      </c>
      <c r="E20">
        <v>207</v>
      </c>
    </row>
    <row r="21" spans="1:5" x14ac:dyDescent="0.3">
      <c r="A21" t="s">
        <v>150</v>
      </c>
      <c r="B21">
        <v>2024</v>
      </c>
      <c r="C21">
        <v>1700305</v>
      </c>
      <c r="D21">
        <v>7963</v>
      </c>
      <c r="E21">
        <v>214</v>
      </c>
    </row>
    <row r="22" spans="1:5" x14ac:dyDescent="0.3">
      <c r="A22" t="s">
        <v>151</v>
      </c>
      <c r="B22">
        <v>2015</v>
      </c>
      <c r="C22">
        <v>1234273</v>
      </c>
      <c r="D22">
        <v>7964</v>
      </c>
      <c r="E22">
        <v>155</v>
      </c>
    </row>
    <row r="23" spans="1:5" x14ac:dyDescent="0.3">
      <c r="A23" t="s">
        <v>151</v>
      </c>
      <c r="B23">
        <v>2016</v>
      </c>
      <c r="C23">
        <v>1355653</v>
      </c>
      <c r="D23">
        <v>8184</v>
      </c>
      <c r="E23">
        <v>166</v>
      </c>
    </row>
    <row r="24" spans="1:5" x14ac:dyDescent="0.3">
      <c r="A24" t="s">
        <v>151</v>
      </c>
      <c r="B24">
        <v>2017</v>
      </c>
      <c r="C24">
        <v>1355598</v>
      </c>
      <c r="D24">
        <v>8110</v>
      </c>
      <c r="E24">
        <v>167</v>
      </c>
    </row>
    <row r="25" spans="1:5" x14ac:dyDescent="0.3">
      <c r="A25" t="s">
        <v>151</v>
      </c>
      <c r="B25">
        <v>2018</v>
      </c>
      <c r="C25">
        <v>1383658</v>
      </c>
      <c r="D25">
        <v>7985</v>
      </c>
      <c r="E25">
        <v>173</v>
      </c>
    </row>
    <row r="26" spans="1:5" x14ac:dyDescent="0.3">
      <c r="A26" t="s">
        <v>151</v>
      </c>
      <c r="B26">
        <v>2019</v>
      </c>
      <c r="C26">
        <v>1420634</v>
      </c>
      <c r="D26">
        <v>7887</v>
      </c>
      <c r="E26">
        <v>180</v>
      </c>
    </row>
    <row r="27" spans="1:5" x14ac:dyDescent="0.3">
      <c r="A27" t="s">
        <v>151</v>
      </c>
      <c r="B27">
        <v>2020</v>
      </c>
      <c r="C27">
        <v>1494936</v>
      </c>
      <c r="D27">
        <v>8053</v>
      </c>
      <c r="E27">
        <v>186</v>
      </c>
    </row>
    <row r="28" spans="1:5" x14ac:dyDescent="0.3">
      <c r="A28" t="s">
        <v>151</v>
      </c>
      <c r="B28">
        <v>2021</v>
      </c>
      <c r="C28">
        <v>1520094</v>
      </c>
      <c r="D28">
        <v>7936</v>
      </c>
      <c r="E28">
        <v>192</v>
      </c>
    </row>
    <row r="29" spans="1:5" x14ac:dyDescent="0.3">
      <c r="A29" t="s">
        <v>151</v>
      </c>
      <c r="B29">
        <v>2022</v>
      </c>
      <c r="C29">
        <v>1622539</v>
      </c>
      <c r="D29">
        <v>8219</v>
      </c>
      <c r="E29">
        <v>197</v>
      </c>
    </row>
    <row r="30" spans="1:5" x14ac:dyDescent="0.3">
      <c r="A30" t="s">
        <v>151</v>
      </c>
      <c r="B30">
        <v>2023</v>
      </c>
      <c r="C30">
        <v>1633765</v>
      </c>
      <c r="D30">
        <v>7919</v>
      </c>
      <c r="E30">
        <v>206</v>
      </c>
    </row>
    <row r="31" spans="1:5" x14ac:dyDescent="0.3">
      <c r="A31" t="s">
        <v>151</v>
      </c>
      <c r="B31">
        <v>2024</v>
      </c>
      <c r="C31">
        <v>1701288</v>
      </c>
      <c r="D31">
        <v>8173</v>
      </c>
      <c r="E31">
        <v>208</v>
      </c>
    </row>
    <row r="32" spans="1:5" x14ac:dyDescent="0.3">
      <c r="A32" t="s">
        <v>152</v>
      </c>
      <c r="B32">
        <v>2015</v>
      </c>
      <c r="C32">
        <v>1262052</v>
      </c>
      <c r="D32">
        <v>8034</v>
      </c>
      <c r="E32">
        <v>157</v>
      </c>
    </row>
    <row r="33" spans="1:5" x14ac:dyDescent="0.3">
      <c r="A33" t="s">
        <v>152</v>
      </c>
      <c r="B33">
        <v>2016</v>
      </c>
      <c r="C33">
        <v>1304840</v>
      </c>
      <c r="D33">
        <v>7989</v>
      </c>
      <c r="E33">
        <v>163</v>
      </c>
    </row>
    <row r="34" spans="1:5" x14ac:dyDescent="0.3">
      <c r="A34" t="s">
        <v>152</v>
      </c>
      <c r="B34">
        <v>2017</v>
      </c>
      <c r="C34">
        <v>1370490</v>
      </c>
      <c r="D34">
        <v>8218</v>
      </c>
      <c r="E34">
        <v>167</v>
      </c>
    </row>
    <row r="35" spans="1:5" x14ac:dyDescent="0.3">
      <c r="A35" t="s">
        <v>152</v>
      </c>
      <c r="B35">
        <v>2018</v>
      </c>
      <c r="C35">
        <v>1435462</v>
      </c>
      <c r="D35">
        <v>8207</v>
      </c>
      <c r="E35">
        <v>175</v>
      </c>
    </row>
    <row r="36" spans="1:5" x14ac:dyDescent="0.3">
      <c r="A36" t="s">
        <v>152</v>
      </c>
      <c r="B36">
        <v>2019</v>
      </c>
      <c r="C36">
        <v>1431340</v>
      </c>
      <c r="D36">
        <v>7857</v>
      </c>
      <c r="E36">
        <v>182</v>
      </c>
    </row>
    <row r="37" spans="1:5" x14ac:dyDescent="0.3">
      <c r="A37" t="s">
        <v>152</v>
      </c>
      <c r="B37">
        <v>2020</v>
      </c>
      <c r="C37">
        <v>1524017</v>
      </c>
      <c r="D37">
        <v>8135</v>
      </c>
      <c r="E37">
        <v>187</v>
      </c>
    </row>
    <row r="38" spans="1:5" x14ac:dyDescent="0.3">
      <c r="A38" t="s">
        <v>152</v>
      </c>
      <c r="B38">
        <v>2021</v>
      </c>
      <c r="C38">
        <v>1558750</v>
      </c>
      <c r="D38">
        <v>8022</v>
      </c>
      <c r="E38">
        <v>194</v>
      </c>
    </row>
    <row r="39" spans="1:5" x14ac:dyDescent="0.3">
      <c r="A39" t="s">
        <v>152</v>
      </c>
      <c r="B39">
        <v>2022</v>
      </c>
      <c r="C39">
        <v>1659344</v>
      </c>
      <c r="D39">
        <v>8171</v>
      </c>
      <c r="E39">
        <v>203</v>
      </c>
    </row>
    <row r="40" spans="1:5" x14ac:dyDescent="0.3">
      <c r="A40" t="s">
        <v>152</v>
      </c>
      <c r="B40">
        <v>2023</v>
      </c>
      <c r="C40">
        <v>1668692</v>
      </c>
      <c r="D40">
        <v>8107</v>
      </c>
      <c r="E40">
        <v>206</v>
      </c>
    </row>
    <row r="41" spans="1:5" x14ac:dyDescent="0.3">
      <c r="A41" t="s">
        <v>152</v>
      </c>
      <c r="B41">
        <v>2024</v>
      </c>
      <c r="C41">
        <v>1761184</v>
      </c>
      <c r="D41">
        <v>8300</v>
      </c>
      <c r="E41">
        <v>212</v>
      </c>
    </row>
    <row r="42" spans="1:5" x14ac:dyDescent="0.3">
      <c r="A42" t="s">
        <v>153</v>
      </c>
      <c r="B42">
        <v>2015</v>
      </c>
      <c r="C42">
        <v>1247880</v>
      </c>
      <c r="D42">
        <v>7968</v>
      </c>
      <c r="E42">
        <v>157</v>
      </c>
    </row>
    <row r="43" spans="1:5" x14ac:dyDescent="0.3">
      <c r="A43" t="s">
        <v>153</v>
      </c>
      <c r="B43">
        <v>2016</v>
      </c>
      <c r="C43">
        <v>1295580</v>
      </c>
      <c r="D43">
        <v>8106</v>
      </c>
      <c r="E43">
        <v>160</v>
      </c>
    </row>
    <row r="44" spans="1:5" x14ac:dyDescent="0.3">
      <c r="A44" t="s">
        <v>153</v>
      </c>
      <c r="B44">
        <v>2017</v>
      </c>
      <c r="C44">
        <v>1348484</v>
      </c>
      <c r="D44">
        <v>7990</v>
      </c>
      <c r="E44">
        <v>169</v>
      </c>
    </row>
    <row r="45" spans="1:5" x14ac:dyDescent="0.3">
      <c r="A45" t="s">
        <v>153</v>
      </c>
      <c r="B45">
        <v>2018</v>
      </c>
      <c r="C45">
        <v>1388731</v>
      </c>
      <c r="D45">
        <v>7905</v>
      </c>
      <c r="E45">
        <v>176</v>
      </c>
    </row>
    <row r="46" spans="1:5" x14ac:dyDescent="0.3">
      <c r="A46" t="s">
        <v>153</v>
      </c>
      <c r="B46">
        <v>2019</v>
      </c>
      <c r="C46">
        <v>1470936</v>
      </c>
      <c r="D46">
        <v>8123</v>
      </c>
      <c r="E46">
        <v>181</v>
      </c>
    </row>
    <row r="47" spans="1:5" x14ac:dyDescent="0.3">
      <c r="A47" t="s">
        <v>153</v>
      </c>
      <c r="B47">
        <v>2020</v>
      </c>
      <c r="C47">
        <v>1447741</v>
      </c>
      <c r="D47">
        <v>7745</v>
      </c>
      <c r="E47">
        <v>187</v>
      </c>
    </row>
    <row r="48" spans="1:5" x14ac:dyDescent="0.3">
      <c r="A48" t="s">
        <v>153</v>
      </c>
      <c r="B48">
        <v>2021</v>
      </c>
      <c r="C48">
        <v>1555228</v>
      </c>
      <c r="D48">
        <v>8007</v>
      </c>
      <c r="E48">
        <v>194</v>
      </c>
    </row>
    <row r="49" spans="1:5" x14ac:dyDescent="0.3">
      <c r="A49" t="s">
        <v>153</v>
      </c>
      <c r="B49">
        <v>2022</v>
      </c>
      <c r="C49">
        <v>1678954</v>
      </c>
      <c r="D49">
        <v>8397</v>
      </c>
      <c r="E49">
        <v>200</v>
      </c>
    </row>
    <row r="50" spans="1:5" x14ac:dyDescent="0.3">
      <c r="A50" t="s">
        <v>153</v>
      </c>
      <c r="B50">
        <v>2023</v>
      </c>
      <c r="C50">
        <v>1675743</v>
      </c>
      <c r="D50">
        <v>8137</v>
      </c>
      <c r="E50">
        <v>206</v>
      </c>
    </row>
    <row r="51" spans="1:5" x14ac:dyDescent="0.3">
      <c r="A51" t="s">
        <v>153</v>
      </c>
      <c r="B51">
        <v>2024</v>
      </c>
      <c r="C51">
        <v>1705908</v>
      </c>
      <c r="D51">
        <v>8099</v>
      </c>
      <c r="E51">
        <v>211</v>
      </c>
    </row>
    <row r="52" spans="1:5" x14ac:dyDescent="0.3">
      <c r="A52" t="s">
        <v>154</v>
      </c>
      <c r="B52">
        <v>2015</v>
      </c>
      <c r="C52">
        <v>1243909</v>
      </c>
      <c r="D52">
        <v>8118</v>
      </c>
      <c r="E52">
        <v>153</v>
      </c>
    </row>
    <row r="53" spans="1:5" x14ac:dyDescent="0.3">
      <c r="A53" t="s">
        <v>154</v>
      </c>
      <c r="B53">
        <v>2016</v>
      </c>
      <c r="C53">
        <v>1357264</v>
      </c>
      <c r="D53">
        <v>8232</v>
      </c>
      <c r="E53">
        <v>165</v>
      </c>
    </row>
    <row r="54" spans="1:5" x14ac:dyDescent="0.3">
      <c r="A54" t="s">
        <v>154</v>
      </c>
      <c r="B54">
        <v>2017</v>
      </c>
      <c r="C54">
        <v>1445253</v>
      </c>
      <c r="D54">
        <v>8484</v>
      </c>
      <c r="E54">
        <v>170</v>
      </c>
    </row>
    <row r="55" spans="1:5" x14ac:dyDescent="0.3">
      <c r="A55" t="s">
        <v>154</v>
      </c>
      <c r="B55">
        <v>2018</v>
      </c>
      <c r="C55">
        <v>1464824</v>
      </c>
      <c r="D55">
        <v>8350</v>
      </c>
      <c r="E55">
        <v>175</v>
      </c>
    </row>
    <row r="56" spans="1:5" x14ac:dyDescent="0.3">
      <c r="A56" t="s">
        <v>154</v>
      </c>
      <c r="B56">
        <v>2019</v>
      </c>
      <c r="C56">
        <v>1438195</v>
      </c>
      <c r="D56">
        <v>7976</v>
      </c>
      <c r="E56">
        <v>180</v>
      </c>
    </row>
    <row r="57" spans="1:5" x14ac:dyDescent="0.3">
      <c r="A57" t="s">
        <v>154</v>
      </c>
      <c r="B57">
        <v>2020</v>
      </c>
      <c r="C57">
        <v>1526411</v>
      </c>
      <c r="D57">
        <v>8160</v>
      </c>
      <c r="E57">
        <v>187</v>
      </c>
    </row>
    <row r="58" spans="1:5" x14ac:dyDescent="0.3">
      <c r="A58" t="s">
        <v>154</v>
      </c>
      <c r="B58">
        <v>2021</v>
      </c>
      <c r="C58">
        <v>1592162</v>
      </c>
      <c r="D58">
        <v>8218</v>
      </c>
      <c r="E58">
        <v>194</v>
      </c>
    </row>
    <row r="59" spans="1:5" x14ac:dyDescent="0.3">
      <c r="A59" t="s">
        <v>154</v>
      </c>
      <c r="B59">
        <v>2022</v>
      </c>
      <c r="C59">
        <v>1595004</v>
      </c>
      <c r="D59">
        <v>8121</v>
      </c>
      <c r="E59">
        <v>196</v>
      </c>
    </row>
    <row r="60" spans="1:5" x14ac:dyDescent="0.3">
      <c r="A60" t="s">
        <v>154</v>
      </c>
      <c r="B60">
        <v>2023</v>
      </c>
      <c r="C60">
        <v>1594773</v>
      </c>
      <c r="D60">
        <v>7664</v>
      </c>
      <c r="E60">
        <v>208</v>
      </c>
    </row>
    <row r="61" spans="1:5" x14ac:dyDescent="0.3">
      <c r="A61" t="s">
        <v>154</v>
      </c>
      <c r="B61">
        <v>2024</v>
      </c>
      <c r="C61">
        <v>1687275</v>
      </c>
      <c r="D61">
        <v>7936</v>
      </c>
      <c r="E61">
        <v>213</v>
      </c>
    </row>
    <row r="62" spans="1:5" x14ac:dyDescent="0.3">
      <c r="A62" t="s">
        <v>155</v>
      </c>
      <c r="B62">
        <v>2015</v>
      </c>
      <c r="C62">
        <v>1293041</v>
      </c>
      <c r="D62">
        <v>8252</v>
      </c>
      <c r="E62">
        <v>157</v>
      </c>
    </row>
    <row r="63" spans="1:5" x14ac:dyDescent="0.3">
      <c r="A63" t="s">
        <v>155</v>
      </c>
      <c r="B63">
        <v>2016</v>
      </c>
      <c r="C63">
        <v>1360459</v>
      </c>
      <c r="D63">
        <v>8315</v>
      </c>
      <c r="E63">
        <v>164</v>
      </c>
    </row>
    <row r="64" spans="1:5" x14ac:dyDescent="0.3">
      <c r="A64" t="s">
        <v>155</v>
      </c>
      <c r="B64">
        <v>2017</v>
      </c>
      <c r="C64">
        <v>1429708</v>
      </c>
      <c r="D64">
        <v>8453</v>
      </c>
      <c r="E64">
        <v>169</v>
      </c>
    </row>
    <row r="65" spans="1:5" x14ac:dyDescent="0.3">
      <c r="A65" t="s">
        <v>155</v>
      </c>
      <c r="B65">
        <v>2018</v>
      </c>
      <c r="C65">
        <v>1373556</v>
      </c>
      <c r="D65">
        <v>8078</v>
      </c>
      <c r="E65">
        <v>170</v>
      </c>
    </row>
    <row r="66" spans="1:5" x14ac:dyDescent="0.3">
      <c r="A66" t="s">
        <v>155</v>
      </c>
      <c r="B66">
        <v>2019</v>
      </c>
      <c r="C66">
        <v>1449808</v>
      </c>
      <c r="D66">
        <v>7960</v>
      </c>
      <c r="E66">
        <v>182</v>
      </c>
    </row>
    <row r="67" spans="1:5" x14ac:dyDescent="0.3">
      <c r="A67" t="s">
        <v>155</v>
      </c>
      <c r="B67">
        <v>2020</v>
      </c>
      <c r="C67">
        <v>1545348</v>
      </c>
      <c r="D67">
        <v>8112</v>
      </c>
      <c r="E67">
        <v>191</v>
      </c>
    </row>
    <row r="68" spans="1:5" x14ac:dyDescent="0.3">
      <c r="A68" t="s">
        <v>155</v>
      </c>
      <c r="B68">
        <v>2021</v>
      </c>
      <c r="C68">
        <v>1565137</v>
      </c>
      <c r="D68">
        <v>8151</v>
      </c>
      <c r="E68">
        <v>192</v>
      </c>
    </row>
    <row r="69" spans="1:5" x14ac:dyDescent="0.3">
      <c r="A69" t="s">
        <v>155</v>
      </c>
      <c r="B69">
        <v>2022</v>
      </c>
      <c r="C69">
        <v>1566935</v>
      </c>
      <c r="D69">
        <v>7857</v>
      </c>
      <c r="E69">
        <v>199</v>
      </c>
    </row>
    <row r="70" spans="1:5" x14ac:dyDescent="0.3">
      <c r="A70" t="s">
        <v>155</v>
      </c>
      <c r="B70">
        <v>2023</v>
      </c>
      <c r="C70">
        <v>1680375</v>
      </c>
      <c r="D70">
        <v>8073</v>
      </c>
      <c r="E70">
        <v>208</v>
      </c>
    </row>
    <row r="71" spans="1:5" x14ac:dyDescent="0.3">
      <c r="A71" t="s">
        <v>155</v>
      </c>
      <c r="B71">
        <v>2024</v>
      </c>
      <c r="C71">
        <v>1707697</v>
      </c>
      <c r="D71">
        <v>8072</v>
      </c>
      <c r="E71">
        <v>212</v>
      </c>
    </row>
    <row r="72" spans="1:5" x14ac:dyDescent="0.3">
      <c r="A72" t="s">
        <v>156</v>
      </c>
      <c r="B72">
        <v>2015</v>
      </c>
      <c r="C72">
        <v>1254207</v>
      </c>
      <c r="D72">
        <v>8079</v>
      </c>
      <c r="E72">
        <v>155</v>
      </c>
    </row>
    <row r="73" spans="1:5" x14ac:dyDescent="0.3">
      <c r="A73" t="s">
        <v>156</v>
      </c>
      <c r="B73">
        <v>2016</v>
      </c>
      <c r="C73">
        <v>1339407</v>
      </c>
      <c r="D73">
        <v>8290</v>
      </c>
      <c r="E73">
        <v>162</v>
      </c>
    </row>
    <row r="74" spans="1:5" x14ac:dyDescent="0.3">
      <c r="A74" t="s">
        <v>156</v>
      </c>
      <c r="B74">
        <v>2017</v>
      </c>
      <c r="C74">
        <v>1359014</v>
      </c>
      <c r="D74">
        <v>8052</v>
      </c>
      <c r="E74">
        <v>169</v>
      </c>
    </row>
    <row r="75" spans="1:5" x14ac:dyDescent="0.3">
      <c r="A75" t="s">
        <v>156</v>
      </c>
      <c r="B75">
        <v>2018</v>
      </c>
      <c r="C75">
        <v>1441408</v>
      </c>
      <c r="D75">
        <v>8217</v>
      </c>
      <c r="E75">
        <v>175</v>
      </c>
    </row>
    <row r="76" spans="1:5" x14ac:dyDescent="0.3">
      <c r="A76" t="s">
        <v>156</v>
      </c>
      <c r="B76">
        <v>2019</v>
      </c>
      <c r="C76">
        <v>1537446</v>
      </c>
      <c r="D76">
        <v>8402</v>
      </c>
      <c r="E76">
        <v>183</v>
      </c>
    </row>
    <row r="77" spans="1:5" x14ac:dyDescent="0.3">
      <c r="A77" t="s">
        <v>156</v>
      </c>
      <c r="B77">
        <v>2020</v>
      </c>
      <c r="C77">
        <v>1553193</v>
      </c>
      <c r="D77">
        <v>8181</v>
      </c>
      <c r="E77">
        <v>190</v>
      </c>
    </row>
    <row r="78" spans="1:5" x14ac:dyDescent="0.3">
      <c r="A78" t="s">
        <v>156</v>
      </c>
      <c r="B78">
        <v>2021</v>
      </c>
      <c r="C78">
        <v>1596376</v>
      </c>
      <c r="D78">
        <v>8218</v>
      </c>
      <c r="E78">
        <v>194</v>
      </c>
    </row>
    <row r="79" spans="1:5" x14ac:dyDescent="0.3">
      <c r="A79" t="s">
        <v>156</v>
      </c>
      <c r="B79">
        <v>2022</v>
      </c>
      <c r="C79">
        <v>1662421</v>
      </c>
      <c r="D79">
        <v>8307</v>
      </c>
      <c r="E79">
        <v>200</v>
      </c>
    </row>
    <row r="80" spans="1:5" x14ac:dyDescent="0.3">
      <c r="A80" t="s">
        <v>156</v>
      </c>
      <c r="B80">
        <v>2023</v>
      </c>
      <c r="C80">
        <v>1642453</v>
      </c>
      <c r="D80">
        <v>7939</v>
      </c>
      <c r="E80">
        <v>207</v>
      </c>
    </row>
    <row r="81" spans="1:5" x14ac:dyDescent="0.3">
      <c r="A81" t="s">
        <v>156</v>
      </c>
      <c r="B81">
        <v>2024</v>
      </c>
      <c r="C81">
        <v>1767499</v>
      </c>
      <c r="D81">
        <v>8270</v>
      </c>
      <c r="E81">
        <v>214</v>
      </c>
    </row>
    <row r="82" spans="1:5" x14ac:dyDescent="0.3">
      <c r="A82" t="s">
        <v>157</v>
      </c>
      <c r="B82">
        <v>2015</v>
      </c>
      <c r="C82">
        <v>1249920</v>
      </c>
      <c r="D82">
        <v>8066</v>
      </c>
      <c r="E82">
        <v>155</v>
      </c>
    </row>
    <row r="83" spans="1:5" x14ac:dyDescent="0.3">
      <c r="A83" t="s">
        <v>157</v>
      </c>
      <c r="B83">
        <v>2016</v>
      </c>
      <c r="C83">
        <v>1281008</v>
      </c>
      <c r="D83">
        <v>7932</v>
      </c>
      <c r="E83">
        <v>161</v>
      </c>
    </row>
    <row r="84" spans="1:5" x14ac:dyDescent="0.3">
      <c r="A84" t="s">
        <v>157</v>
      </c>
      <c r="B84">
        <v>2017</v>
      </c>
      <c r="C84">
        <v>1340291</v>
      </c>
      <c r="D84">
        <v>7906</v>
      </c>
      <c r="E84">
        <v>170</v>
      </c>
    </row>
    <row r="85" spans="1:5" x14ac:dyDescent="0.3">
      <c r="A85" t="s">
        <v>157</v>
      </c>
      <c r="B85">
        <v>2018</v>
      </c>
      <c r="C85">
        <v>1377107</v>
      </c>
      <c r="D85">
        <v>7818</v>
      </c>
      <c r="E85">
        <v>176</v>
      </c>
    </row>
    <row r="86" spans="1:5" x14ac:dyDescent="0.3">
      <c r="A86" t="s">
        <v>157</v>
      </c>
      <c r="B86">
        <v>2019</v>
      </c>
      <c r="C86">
        <v>1489797</v>
      </c>
      <c r="D86">
        <v>8305</v>
      </c>
      <c r="E86">
        <v>179</v>
      </c>
    </row>
    <row r="87" spans="1:5" x14ac:dyDescent="0.3">
      <c r="A87" t="s">
        <v>157</v>
      </c>
      <c r="B87">
        <v>2020</v>
      </c>
      <c r="C87">
        <v>1502540</v>
      </c>
      <c r="D87">
        <v>7958</v>
      </c>
      <c r="E87">
        <v>189</v>
      </c>
    </row>
    <row r="88" spans="1:5" x14ac:dyDescent="0.3">
      <c r="A88" t="s">
        <v>157</v>
      </c>
      <c r="B88">
        <v>2021</v>
      </c>
      <c r="C88">
        <v>1593482</v>
      </c>
      <c r="D88">
        <v>8304</v>
      </c>
      <c r="E88">
        <v>192</v>
      </c>
    </row>
    <row r="89" spans="1:5" x14ac:dyDescent="0.3">
      <c r="A89" t="s">
        <v>157</v>
      </c>
      <c r="B89">
        <v>2022</v>
      </c>
      <c r="C89">
        <v>1615491</v>
      </c>
      <c r="D89">
        <v>8062</v>
      </c>
      <c r="E89">
        <v>200</v>
      </c>
    </row>
    <row r="90" spans="1:5" x14ac:dyDescent="0.3">
      <c r="A90" t="s">
        <v>157</v>
      </c>
      <c r="B90">
        <v>2023</v>
      </c>
      <c r="C90">
        <v>1625634</v>
      </c>
      <c r="D90">
        <v>7827</v>
      </c>
      <c r="E90">
        <v>208</v>
      </c>
    </row>
    <row r="91" spans="1:5" x14ac:dyDescent="0.3">
      <c r="A91" t="s">
        <v>157</v>
      </c>
      <c r="B91">
        <v>2024</v>
      </c>
      <c r="C91">
        <v>1727370</v>
      </c>
      <c r="D91">
        <v>8195</v>
      </c>
      <c r="E91">
        <v>211</v>
      </c>
    </row>
    <row r="92" spans="1:5" x14ac:dyDescent="0.3">
      <c r="A92" t="s">
        <v>158</v>
      </c>
      <c r="B92">
        <v>2015</v>
      </c>
      <c r="C92">
        <v>1259119</v>
      </c>
      <c r="D92">
        <v>8123</v>
      </c>
      <c r="E92">
        <v>155</v>
      </c>
    </row>
    <row r="93" spans="1:5" x14ac:dyDescent="0.3">
      <c r="A93" t="s">
        <v>158</v>
      </c>
      <c r="B93">
        <v>2016</v>
      </c>
      <c r="C93">
        <v>1340162</v>
      </c>
      <c r="D93">
        <v>8161</v>
      </c>
      <c r="E93">
        <v>164</v>
      </c>
    </row>
    <row r="94" spans="1:5" x14ac:dyDescent="0.3">
      <c r="A94" t="s">
        <v>158</v>
      </c>
      <c r="B94">
        <v>2017</v>
      </c>
      <c r="C94">
        <v>1327504</v>
      </c>
      <c r="D94">
        <v>7994</v>
      </c>
      <c r="E94">
        <v>166</v>
      </c>
    </row>
    <row r="95" spans="1:5" x14ac:dyDescent="0.3">
      <c r="A95" t="s">
        <v>158</v>
      </c>
      <c r="B95">
        <v>2018</v>
      </c>
      <c r="C95">
        <v>1406944</v>
      </c>
      <c r="D95">
        <v>7915</v>
      </c>
      <c r="E95">
        <v>178</v>
      </c>
    </row>
    <row r="96" spans="1:5" x14ac:dyDescent="0.3">
      <c r="A96" t="s">
        <v>158</v>
      </c>
      <c r="B96">
        <v>2019</v>
      </c>
      <c r="C96">
        <v>1532530</v>
      </c>
      <c r="D96">
        <v>8352</v>
      </c>
      <c r="E96">
        <v>183</v>
      </c>
    </row>
    <row r="97" spans="1:5" x14ac:dyDescent="0.3">
      <c r="A97" t="s">
        <v>158</v>
      </c>
      <c r="B97">
        <v>2020</v>
      </c>
      <c r="C97">
        <v>1496923</v>
      </c>
      <c r="D97">
        <v>8027</v>
      </c>
      <c r="E97">
        <v>186</v>
      </c>
    </row>
    <row r="98" spans="1:5" x14ac:dyDescent="0.3">
      <c r="A98" t="s">
        <v>158</v>
      </c>
      <c r="B98">
        <v>2021</v>
      </c>
      <c r="C98">
        <v>1567160</v>
      </c>
      <c r="D98">
        <v>8160</v>
      </c>
      <c r="E98">
        <v>192</v>
      </c>
    </row>
    <row r="99" spans="1:5" x14ac:dyDescent="0.3">
      <c r="A99" t="s">
        <v>158</v>
      </c>
      <c r="B99">
        <v>2022</v>
      </c>
      <c r="C99">
        <v>1581002</v>
      </c>
      <c r="D99">
        <v>7928</v>
      </c>
      <c r="E99">
        <v>199</v>
      </c>
    </row>
    <row r="100" spans="1:5" x14ac:dyDescent="0.3">
      <c r="A100" t="s">
        <v>158</v>
      </c>
      <c r="B100">
        <v>2023</v>
      </c>
      <c r="C100">
        <v>1623721</v>
      </c>
      <c r="D100">
        <v>7900</v>
      </c>
      <c r="E100">
        <v>206</v>
      </c>
    </row>
    <row r="101" spans="1:5" x14ac:dyDescent="0.3">
      <c r="A101" t="s">
        <v>158</v>
      </c>
      <c r="B101">
        <v>2024</v>
      </c>
      <c r="C101">
        <v>1703207</v>
      </c>
      <c r="D101">
        <v>8098</v>
      </c>
      <c r="E101">
        <v>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61B0-739F-4F2A-A469-66B91E6FCE49}">
  <dimension ref="A1:L13"/>
  <sheetViews>
    <sheetView workbookViewId="0">
      <selection activeCell="N6" sqref="N6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14" bestFit="1" customWidth="1"/>
    <col min="4" max="4" width="6.6640625" bestFit="1" customWidth="1"/>
    <col min="5" max="5" width="8.5546875" bestFit="1" customWidth="1"/>
    <col min="6" max="6" width="6" bestFit="1" customWidth="1"/>
    <col min="7" max="7" width="11.21875" bestFit="1" customWidth="1"/>
    <col min="8" max="8" width="6.77734375" bestFit="1" customWidth="1"/>
    <col min="9" max="9" width="8.109375" bestFit="1" customWidth="1"/>
    <col min="10" max="10" width="6" bestFit="1" customWidth="1"/>
    <col min="11" max="11" width="7.5546875" bestFit="1" customWidth="1"/>
    <col min="12" max="12" width="10.5546875" bestFit="1" customWidth="1"/>
    <col min="13" max="13" width="18.77734375" bestFit="1" customWidth="1"/>
    <col min="14" max="14" width="15" bestFit="1" customWidth="1"/>
    <col min="15" max="15" width="18.77734375" bestFit="1" customWidth="1"/>
    <col min="16" max="16" width="15" bestFit="1" customWidth="1"/>
    <col min="17" max="17" width="18.77734375" bestFit="1" customWidth="1"/>
    <col min="18" max="18" width="15" bestFit="1" customWidth="1"/>
    <col min="19" max="19" width="18.77734375" bestFit="1" customWidth="1"/>
    <col min="20" max="20" width="15" bestFit="1" customWidth="1"/>
    <col min="21" max="21" width="18.77734375" bestFit="1" customWidth="1"/>
    <col min="22" max="22" width="19.5546875" bestFit="1" customWidth="1"/>
    <col min="23" max="23" width="23.33203125" bestFit="1" customWidth="1"/>
    <col min="24" max="24" width="18.77734375" bestFit="1" customWidth="1"/>
    <col min="25" max="25" width="13.6640625" bestFit="1" customWidth="1"/>
    <col min="26" max="26" width="15" bestFit="1" customWidth="1"/>
    <col min="27" max="27" width="18.77734375" bestFit="1" customWidth="1"/>
    <col min="28" max="28" width="13.6640625" bestFit="1" customWidth="1"/>
    <col min="29" max="29" width="15" bestFit="1" customWidth="1"/>
    <col min="30" max="30" width="18.77734375" bestFit="1" customWidth="1"/>
    <col min="31" max="31" width="13.6640625" bestFit="1" customWidth="1"/>
    <col min="32" max="32" width="19.5546875" bestFit="1" customWidth="1"/>
    <col min="33" max="33" width="23.33203125" bestFit="1" customWidth="1"/>
    <col min="34" max="34" width="18.21875" bestFit="1" customWidth="1"/>
  </cols>
  <sheetData>
    <row r="1" spans="1:12" x14ac:dyDescent="0.3">
      <c r="A1" s="3" t="s">
        <v>147</v>
      </c>
      <c r="B1" s="3" t="s">
        <v>148</v>
      </c>
    </row>
    <row r="2" spans="1:12" x14ac:dyDescent="0.3">
      <c r="A2" s="3" t="s">
        <v>129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130</v>
      </c>
    </row>
    <row r="3" spans="1:12" x14ac:dyDescent="0.3">
      <c r="A3" s="4">
        <v>2015</v>
      </c>
      <c r="B3" s="5">
        <v>8393</v>
      </c>
      <c r="C3" s="5">
        <v>8083</v>
      </c>
      <c r="D3" s="5">
        <v>7964</v>
      </c>
      <c r="E3" s="5">
        <v>8034</v>
      </c>
      <c r="F3" s="5">
        <v>7968</v>
      </c>
      <c r="G3" s="5">
        <v>8118</v>
      </c>
      <c r="H3" s="5">
        <v>8252</v>
      </c>
      <c r="I3" s="5">
        <v>8079</v>
      </c>
      <c r="J3" s="5">
        <v>8066</v>
      </c>
      <c r="K3" s="5">
        <v>8123</v>
      </c>
      <c r="L3" s="5">
        <v>81080</v>
      </c>
    </row>
    <row r="4" spans="1:12" x14ac:dyDescent="0.3">
      <c r="A4" s="4">
        <v>2016</v>
      </c>
      <c r="B4" s="5">
        <v>8077</v>
      </c>
      <c r="C4" s="5">
        <v>8369</v>
      </c>
      <c r="D4" s="5">
        <v>8184</v>
      </c>
      <c r="E4" s="5">
        <v>7989</v>
      </c>
      <c r="F4" s="5">
        <v>8106</v>
      </c>
      <c r="G4" s="5">
        <v>8232</v>
      </c>
      <c r="H4" s="5">
        <v>8315</v>
      </c>
      <c r="I4" s="5">
        <v>8290</v>
      </c>
      <c r="J4" s="5">
        <v>7932</v>
      </c>
      <c r="K4" s="5">
        <v>8161</v>
      </c>
      <c r="L4" s="5">
        <v>81655</v>
      </c>
    </row>
    <row r="5" spans="1:12" x14ac:dyDescent="0.3">
      <c r="A5" s="4">
        <v>2017</v>
      </c>
      <c r="B5" s="5">
        <v>8112</v>
      </c>
      <c r="C5" s="5">
        <v>8081</v>
      </c>
      <c r="D5" s="5">
        <v>8110</v>
      </c>
      <c r="E5" s="5">
        <v>8218</v>
      </c>
      <c r="F5" s="5">
        <v>7990</v>
      </c>
      <c r="G5" s="5">
        <v>8484</v>
      </c>
      <c r="H5" s="5">
        <v>8453</v>
      </c>
      <c r="I5" s="5">
        <v>8052</v>
      </c>
      <c r="J5" s="5">
        <v>7906</v>
      </c>
      <c r="K5" s="5">
        <v>7994</v>
      </c>
      <c r="L5" s="5">
        <v>81400</v>
      </c>
    </row>
    <row r="6" spans="1:12" x14ac:dyDescent="0.3">
      <c r="A6" s="4">
        <v>2018</v>
      </c>
      <c r="B6" s="5">
        <v>8287</v>
      </c>
      <c r="C6" s="5">
        <v>7854</v>
      </c>
      <c r="D6" s="5">
        <v>7985</v>
      </c>
      <c r="E6" s="5">
        <v>8207</v>
      </c>
      <c r="F6" s="5">
        <v>7905</v>
      </c>
      <c r="G6" s="5">
        <v>8350</v>
      </c>
      <c r="H6" s="5">
        <v>8078</v>
      </c>
      <c r="I6" s="5">
        <v>8217</v>
      </c>
      <c r="J6" s="5">
        <v>7818</v>
      </c>
      <c r="K6" s="5">
        <v>7915</v>
      </c>
      <c r="L6" s="5">
        <v>80616</v>
      </c>
    </row>
    <row r="7" spans="1:12" x14ac:dyDescent="0.3">
      <c r="A7" s="4">
        <v>2019</v>
      </c>
      <c r="B7" s="5">
        <v>8278</v>
      </c>
      <c r="C7" s="5">
        <v>8147</v>
      </c>
      <c r="D7" s="5">
        <v>7887</v>
      </c>
      <c r="E7" s="5">
        <v>7857</v>
      </c>
      <c r="F7" s="5">
        <v>8123</v>
      </c>
      <c r="G7" s="5">
        <v>7976</v>
      </c>
      <c r="H7" s="5">
        <v>7960</v>
      </c>
      <c r="I7" s="5">
        <v>8402</v>
      </c>
      <c r="J7" s="5">
        <v>8305</v>
      </c>
      <c r="K7" s="5">
        <v>8352</v>
      </c>
      <c r="L7" s="5">
        <v>81287</v>
      </c>
    </row>
    <row r="8" spans="1:12" x14ac:dyDescent="0.3">
      <c r="A8" s="4">
        <v>2020</v>
      </c>
      <c r="B8" s="5">
        <v>8238</v>
      </c>
      <c r="C8" s="5">
        <v>8115</v>
      </c>
      <c r="D8" s="5">
        <v>8053</v>
      </c>
      <c r="E8" s="5">
        <v>8135</v>
      </c>
      <c r="F8" s="5">
        <v>7745</v>
      </c>
      <c r="G8" s="5">
        <v>8160</v>
      </c>
      <c r="H8" s="5">
        <v>8112</v>
      </c>
      <c r="I8" s="5">
        <v>8181</v>
      </c>
      <c r="J8" s="5">
        <v>7958</v>
      </c>
      <c r="K8" s="5">
        <v>8027</v>
      </c>
      <c r="L8" s="5">
        <v>80724</v>
      </c>
    </row>
    <row r="9" spans="1:12" x14ac:dyDescent="0.3">
      <c r="A9" s="4">
        <v>2021</v>
      </c>
      <c r="B9" s="5">
        <v>8194</v>
      </c>
      <c r="C9" s="5">
        <v>7831</v>
      </c>
      <c r="D9" s="5">
        <v>7936</v>
      </c>
      <c r="E9" s="5">
        <v>8022</v>
      </c>
      <c r="F9" s="5">
        <v>8007</v>
      </c>
      <c r="G9" s="5">
        <v>8218</v>
      </c>
      <c r="H9" s="5">
        <v>8151</v>
      </c>
      <c r="I9" s="5">
        <v>8218</v>
      </c>
      <c r="J9" s="5">
        <v>8304</v>
      </c>
      <c r="K9" s="5">
        <v>8160</v>
      </c>
      <c r="L9" s="5">
        <v>81041</v>
      </c>
    </row>
    <row r="10" spans="1:12" x14ac:dyDescent="0.3">
      <c r="A10" s="4">
        <v>2022</v>
      </c>
      <c r="B10" s="5">
        <v>8312</v>
      </c>
      <c r="C10" s="5">
        <v>8319</v>
      </c>
      <c r="D10" s="5">
        <v>8219</v>
      </c>
      <c r="E10" s="5">
        <v>8171</v>
      </c>
      <c r="F10" s="5">
        <v>8397</v>
      </c>
      <c r="G10" s="5">
        <v>8121</v>
      </c>
      <c r="H10" s="5">
        <v>7857</v>
      </c>
      <c r="I10" s="5">
        <v>8307</v>
      </c>
      <c r="J10" s="5">
        <v>8062</v>
      </c>
      <c r="K10" s="5">
        <v>7928</v>
      </c>
      <c r="L10" s="5">
        <v>81693</v>
      </c>
    </row>
    <row r="11" spans="1:12" x14ac:dyDescent="0.3">
      <c r="A11" s="4">
        <v>2023</v>
      </c>
      <c r="B11" s="5">
        <v>8234</v>
      </c>
      <c r="C11" s="5">
        <v>8137</v>
      </c>
      <c r="D11" s="5">
        <v>7919</v>
      </c>
      <c r="E11" s="5">
        <v>8107</v>
      </c>
      <c r="F11" s="5">
        <v>8137</v>
      </c>
      <c r="G11" s="5">
        <v>7664</v>
      </c>
      <c r="H11" s="5">
        <v>8073</v>
      </c>
      <c r="I11" s="5">
        <v>7939</v>
      </c>
      <c r="J11" s="5">
        <v>7827</v>
      </c>
      <c r="K11" s="5">
        <v>7900</v>
      </c>
      <c r="L11" s="5">
        <v>79937</v>
      </c>
    </row>
    <row r="12" spans="1:12" x14ac:dyDescent="0.3">
      <c r="A12" s="4">
        <v>2024</v>
      </c>
      <c r="B12" s="5">
        <v>8508</v>
      </c>
      <c r="C12" s="5">
        <v>7963</v>
      </c>
      <c r="D12" s="5">
        <v>8173</v>
      </c>
      <c r="E12" s="5">
        <v>8300</v>
      </c>
      <c r="F12" s="5">
        <v>8099</v>
      </c>
      <c r="G12" s="5">
        <v>7936</v>
      </c>
      <c r="H12" s="5">
        <v>8072</v>
      </c>
      <c r="I12" s="5">
        <v>8270</v>
      </c>
      <c r="J12" s="5">
        <v>8195</v>
      </c>
      <c r="K12" s="5">
        <v>8098</v>
      </c>
      <c r="L12" s="5">
        <v>81614</v>
      </c>
    </row>
    <row r="13" spans="1:12" x14ac:dyDescent="0.3">
      <c r="A13" s="4" t="s">
        <v>130</v>
      </c>
      <c r="B13" s="5">
        <v>82633</v>
      </c>
      <c r="C13" s="5">
        <v>80899</v>
      </c>
      <c r="D13" s="5">
        <v>80430</v>
      </c>
      <c r="E13" s="5">
        <v>81040</v>
      </c>
      <c r="F13" s="5">
        <v>80477</v>
      </c>
      <c r="G13" s="5">
        <v>81259</v>
      </c>
      <c r="H13" s="5">
        <v>81323</v>
      </c>
      <c r="I13" s="5">
        <v>81955</v>
      </c>
      <c r="J13" s="5">
        <v>80373</v>
      </c>
      <c r="K13" s="5">
        <v>80658</v>
      </c>
      <c r="L13" s="5">
        <v>811047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B601-E27A-4330-B8BD-7C3D762F6D76}">
  <dimension ref="A1:E11"/>
  <sheetViews>
    <sheetView workbookViewId="0">
      <selection activeCell="G21" sqref="G21"/>
    </sheetView>
  </sheetViews>
  <sheetFormatPr defaultRowHeight="14.4" x14ac:dyDescent="0.3"/>
  <cols>
    <col min="1" max="1" width="9.109375" customWidth="1"/>
    <col min="2" max="2" width="14.44140625" customWidth="1"/>
  </cols>
  <sheetData>
    <row r="1" spans="1:5" x14ac:dyDescent="0.3">
      <c r="A1" t="s">
        <v>160</v>
      </c>
      <c r="B1" t="s">
        <v>3</v>
      </c>
    </row>
    <row r="2" spans="1:5" x14ac:dyDescent="0.3">
      <c r="A2" t="s">
        <v>149</v>
      </c>
      <c r="B2" s="1">
        <v>82633</v>
      </c>
      <c r="E2" s="1"/>
    </row>
    <row r="3" spans="1:5" x14ac:dyDescent="0.3">
      <c r="A3" t="s">
        <v>156</v>
      </c>
      <c r="B3" s="1">
        <v>81955</v>
      </c>
      <c r="E3" s="1"/>
    </row>
    <row r="4" spans="1:5" x14ac:dyDescent="0.3">
      <c r="A4" t="s">
        <v>155</v>
      </c>
      <c r="B4" s="1">
        <v>81323</v>
      </c>
      <c r="E4" s="1"/>
    </row>
    <row r="5" spans="1:5" x14ac:dyDescent="0.3">
      <c r="A5" t="s">
        <v>154</v>
      </c>
      <c r="B5" s="1">
        <v>81259</v>
      </c>
      <c r="E5" s="1"/>
    </row>
    <row r="6" spans="1:5" x14ac:dyDescent="0.3">
      <c r="A6" t="s">
        <v>152</v>
      </c>
      <c r="B6" s="1">
        <v>81040</v>
      </c>
      <c r="E6" s="1"/>
    </row>
    <row r="7" spans="1:5" x14ac:dyDescent="0.3">
      <c r="A7" t="s">
        <v>150</v>
      </c>
      <c r="B7" s="1">
        <v>80899</v>
      </c>
      <c r="E7" s="1"/>
    </row>
    <row r="8" spans="1:5" x14ac:dyDescent="0.3">
      <c r="A8" t="s">
        <v>158</v>
      </c>
      <c r="B8" s="1">
        <v>80658</v>
      </c>
      <c r="E8" s="1"/>
    </row>
    <row r="9" spans="1:5" x14ac:dyDescent="0.3">
      <c r="A9" t="s">
        <v>153</v>
      </c>
      <c r="B9" s="1">
        <v>80477</v>
      </c>
      <c r="E9" s="1"/>
    </row>
    <row r="10" spans="1:5" x14ac:dyDescent="0.3">
      <c r="A10" t="s">
        <v>151</v>
      </c>
      <c r="B10" s="1">
        <v>80430</v>
      </c>
      <c r="E10" s="1"/>
    </row>
    <row r="11" spans="1:5" x14ac:dyDescent="0.3">
      <c r="A11" t="s">
        <v>157</v>
      </c>
      <c r="B11" s="1">
        <v>80373</v>
      </c>
      <c r="E11" s="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7882-F9AB-4B8A-8186-086057F6E1ED}">
  <dimension ref="A1:E121"/>
  <sheetViews>
    <sheetView topLeftCell="A2" workbookViewId="0">
      <selection activeCell="F6" sqref="F6"/>
    </sheetView>
  </sheetViews>
  <sheetFormatPr defaultRowHeight="14.4" x14ac:dyDescent="0.3"/>
  <cols>
    <col min="1" max="1" width="9.21875" customWidth="1"/>
    <col min="2" max="2" width="10.6640625" style="2" customWidth="1"/>
  </cols>
  <sheetData>
    <row r="1" spans="1:5" x14ac:dyDescent="0.3">
      <c r="A1" t="s">
        <v>127</v>
      </c>
      <c r="B1" s="2" t="s">
        <v>1</v>
      </c>
      <c r="C1" t="s">
        <v>0</v>
      </c>
      <c r="D1" t="s">
        <v>128</v>
      </c>
      <c r="E1" s="7" t="s">
        <v>145</v>
      </c>
    </row>
    <row r="2" spans="1:5" x14ac:dyDescent="0.3">
      <c r="A2" t="s">
        <v>7</v>
      </c>
      <c r="B2" s="2">
        <v>889346</v>
      </c>
      <c r="C2" t="str">
        <f t="shared" ref="C2:C33" si="0">LEFT(A2,4)</f>
        <v>2015</v>
      </c>
      <c r="D2" t="str">
        <f t="shared" ref="D2:D33" si="1">TEXT(DATEVALUE(A2&amp;"-01"),"[$-en-US]mmm")</f>
        <v>Jan</v>
      </c>
      <c r="E2">
        <f t="shared" ref="E2:E33" si="2">MONTH(DATEVALUE(A2&amp;"-01"))</f>
        <v>1</v>
      </c>
    </row>
    <row r="3" spans="1:5" x14ac:dyDescent="0.3">
      <c r="A3" t="s">
        <v>8</v>
      </c>
      <c r="B3" s="2">
        <v>723425</v>
      </c>
      <c r="C3" t="str">
        <f t="shared" si="0"/>
        <v>2015</v>
      </c>
      <c r="D3" t="str">
        <f t="shared" si="1"/>
        <v>Feb</v>
      </c>
      <c r="E3">
        <f t="shared" si="2"/>
        <v>2</v>
      </c>
    </row>
    <row r="4" spans="1:5" x14ac:dyDescent="0.3">
      <c r="A4" t="s">
        <v>9</v>
      </c>
      <c r="B4" s="2">
        <v>856995</v>
      </c>
      <c r="C4" t="str">
        <f t="shared" si="0"/>
        <v>2015</v>
      </c>
      <c r="D4" t="str">
        <f t="shared" si="1"/>
        <v>Mar</v>
      </c>
      <c r="E4">
        <f t="shared" si="2"/>
        <v>3</v>
      </c>
    </row>
    <row r="5" spans="1:5" x14ac:dyDescent="0.3">
      <c r="A5" t="s">
        <v>10</v>
      </c>
      <c r="B5" s="2">
        <v>941346</v>
      </c>
      <c r="C5" t="str">
        <f t="shared" si="0"/>
        <v>2015</v>
      </c>
      <c r="D5" t="str">
        <f t="shared" si="1"/>
        <v>Apr</v>
      </c>
      <c r="E5">
        <f t="shared" si="2"/>
        <v>4</v>
      </c>
    </row>
    <row r="6" spans="1:5" x14ac:dyDescent="0.3">
      <c r="A6" t="s">
        <v>11</v>
      </c>
      <c r="B6" s="2">
        <v>1007892</v>
      </c>
      <c r="C6" t="str">
        <f t="shared" si="0"/>
        <v>2015</v>
      </c>
      <c r="D6" t="str">
        <f t="shared" si="1"/>
        <v>May</v>
      </c>
      <c r="E6">
        <f t="shared" si="2"/>
        <v>5</v>
      </c>
    </row>
    <row r="7" spans="1:5" x14ac:dyDescent="0.3">
      <c r="A7" t="s">
        <v>12</v>
      </c>
      <c r="B7" s="2">
        <v>1012280</v>
      </c>
      <c r="C7" t="str">
        <f t="shared" si="0"/>
        <v>2015</v>
      </c>
      <c r="D7" t="str">
        <f t="shared" si="1"/>
        <v>Jun</v>
      </c>
      <c r="E7">
        <f t="shared" si="2"/>
        <v>6</v>
      </c>
    </row>
    <row r="8" spans="1:5" x14ac:dyDescent="0.3">
      <c r="A8" t="s">
        <v>13</v>
      </c>
      <c r="B8" s="2">
        <v>1062857</v>
      </c>
      <c r="C8" t="str">
        <f t="shared" si="0"/>
        <v>2015</v>
      </c>
      <c r="D8" t="str">
        <f t="shared" si="1"/>
        <v>Jul</v>
      </c>
      <c r="E8">
        <f t="shared" si="2"/>
        <v>7</v>
      </c>
    </row>
    <row r="9" spans="1:5" x14ac:dyDescent="0.3">
      <c r="A9" t="s">
        <v>14</v>
      </c>
      <c r="B9" s="2">
        <v>1059177</v>
      </c>
      <c r="C9" t="str">
        <f t="shared" si="0"/>
        <v>2015</v>
      </c>
      <c r="D9" t="str">
        <f t="shared" si="1"/>
        <v>Aug</v>
      </c>
      <c r="E9">
        <f t="shared" si="2"/>
        <v>8</v>
      </c>
    </row>
    <row r="10" spans="1:5" x14ac:dyDescent="0.3">
      <c r="A10" t="s">
        <v>15</v>
      </c>
      <c r="B10" s="2">
        <v>944451</v>
      </c>
      <c r="C10" t="str">
        <f t="shared" si="0"/>
        <v>2015</v>
      </c>
      <c r="D10" t="str">
        <f t="shared" si="1"/>
        <v>Sep</v>
      </c>
      <c r="E10">
        <f t="shared" si="2"/>
        <v>9</v>
      </c>
    </row>
    <row r="11" spans="1:5" x14ac:dyDescent="0.3">
      <c r="A11" t="s">
        <v>16</v>
      </c>
      <c r="B11" s="2">
        <v>1076754</v>
      </c>
      <c r="C11" t="str">
        <f t="shared" si="0"/>
        <v>2015</v>
      </c>
      <c r="D11" t="str">
        <f t="shared" si="1"/>
        <v>Oct</v>
      </c>
      <c r="E11">
        <f t="shared" si="2"/>
        <v>10</v>
      </c>
    </row>
    <row r="12" spans="1:5" x14ac:dyDescent="0.3">
      <c r="A12" t="s">
        <v>17</v>
      </c>
      <c r="B12" s="2">
        <v>1410934</v>
      </c>
      <c r="C12" t="str">
        <f t="shared" si="0"/>
        <v>2015</v>
      </c>
      <c r="D12" t="str">
        <f t="shared" si="1"/>
        <v>Nov</v>
      </c>
      <c r="E12">
        <f t="shared" si="2"/>
        <v>11</v>
      </c>
    </row>
    <row r="13" spans="1:5" x14ac:dyDescent="0.3">
      <c r="A13" t="s">
        <v>18</v>
      </c>
      <c r="B13" s="2">
        <v>1630260</v>
      </c>
      <c r="C13" t="str">
        <f t="shared" si="0"/>
        <v>2015</v>
      </c>
      <c r="D13" t="str">
        <f t="shared" si="1"/>
        <v>Dec</v>
      </c>
      <c r="E13">
        <f t="shared" si="2"/>
        <v>12</v>
      </c>
    </row>
    <row r="14" spans="1:5" x14ac:dyDescent="0.3">
      <c r="A14" t="s">
        <v>19</v>
      </c>
      <c r="B14" s="2">
        <v>892454</v>
      </c>
      <c r="C14" t="str">
        <f t="shared" si="0"/>
        <v>2016</v>
      </c>
      <c r="D14" t="str">
        <f t="shared" si="1"/>
        <v>Jan</v>
      </c>
      <c r="E14">
        <f t="shared" si="2"/>
        <v>1</v>
      </c>
    </row>
    <row r="15" spans="1:5" x14ac:dyDescent="0.3">
      <c r="A15" t="s">
        <v>20</v>
      </c>
      <c r="B15" s="2">
        <v>768950</v>
      </c>
      <c r="C15" t="str">
        <f t="shared" si="0"/>
        <v>2016</v>
      </c>
      <c r="D15" t="str">
        <f t="shared" si="1"/>
        <v>Feb</v>
      </c>
      <c r="E15">
        <f t="shared" si="2"/>
        <v>2</v>
      </c>
    </row>
    <row r="16" spans="1:5" x14ac:dyDescent="0.3">
      <c r="A16" t="s">
        <v>21</v>
      </c>
      <c r="B16" s="2">
        <v>918082</v>
      </c>
      <c r="C16" t="str">
        <f t="shared" si="0"/>
        <v>2016</v>
      </c>
      <c r="D16" t="str">
        <f t="shared" si="1"/>
        <v>Mar</v>
      </c>
      <c r="E16">
        <f t="shared" si="2"/>
        <v>3</v>
      </c>
    </row>
    <row r="17" spans="1:5" x14ac:dyDescent="0.3">
      <c r="A17" t="s">
        <v>22</v>
      </c>
      <c r="B17" s="2">
        <v>981246</v>
      </c>
      <c r="C17" t="str">
        <f t="shared" si="0"/>
        <v>2016</v>
      </c>
      <c r="D17" t="str">
        <f t="shared" si="1"/>
        <v>Apr</v>
      </c>
      <c r="E17">
        <f t="shared" si="2"/>
        <v>4</v>
      </c>
    </row>
    <row r="18" spans="1:5" x14ac:dyDescent="0.3">
      <c r="A18" t="s">
        <v>23</v>
      </c>
      <c r="B18" s="2">
        <v>1041927</v>
      </c>
      <c r="C18" t="str">
        <f t="shared" si="0"/>
        <v>2016</v>
      </c>
      <c r="D18" t="str">
        <f t="shared" si="1"/>
        <v>May</v>
      </c>
      <c r="E18">
        <f t="shared" si="2"/>
        <v>5</v>
      </c>
    </row>
    <row r="19" spans="1:5" x14ac:dyDescent="0.3">
      <c r="A19" t="s">
        <v>24</v>
      </c>
      <c r="B19" s="2">
        <v>1059197</v>
      </c>
      <c r="C19" t="str">
        <f t="shared" si="0"/>
        <v>2016</v>
      </c>
      <c r="D19" t="str">
        <f t="shared" si="1"/>
        <v>Jun</v>
      </c>
      <c r="E19">
        <f t="shared" si="2"/>
        <v>6</v>
      </c>
    </row>
    <row r="20" spans="1:5" x14ac:dyDescent="0.3">
      <c r="A20" t="s">
        <v>25</v>
      </c>
      <c r="B20" s="2">
        <v>1179437</v>
      </c>
      <c r="C20" t="str">
        <f t="shared" si="0"/>
        <v>2016</v>
      </c>
      <c r="D20" t="str">
        <f t="shared" si="1"/>
        <v>Jul</v>
      </c>
      <c r="E20">
        <f t="shared" si="2"/>
        <v>7</v>
      </c>
    </row>
    <row r="21" spans="1:5" x14ac:dyDescent="0.3">
      <c r="A21" t="s">
        <v>26</v>
      </c>
      <c r="B21" s="2">
        <v>1183284</v>
      </c>
      <c r="C21" t="str">
        <f t="shared" si="0"/>
        <v>2016</v>
      </c>
      <c r="D21" t="str">
        <f t="shared" si="1"/>
        <v>Aug</v>
      </c>
      <c r="E21">
        <f t="shared" si="2"/>
        <v>8</v>
      </c>
    </row>
    <row r="22" spans="1:5" x14ac:dyDescent="0.3">
      <c r="A22" t="s">
        <v>27</v>
      </c>
      <c r="B22" s="2">
        <v>1050758</v>
      </c>
      <c r="C22" t="str">
        <f t="shared" si="0"/>
        <v>2016</v>
      </c>
      <c r="D22" t="str">
        <f t="shared" si="1"/>
        <v>Sep</v>
      </c>
      <c r="E22">
        <f t="shared" si="2"/>
        <v>9</v>
      </c>
    </row>
    <row r="23" spans="1:5" x14ac:dyDescent="0.3">
      <c r="A23" t="s">
        <v>28</v>
      </c>
      <c r="B23" s="2">
        <v>1104297</v>
      </c>
      <c r="C23" t="str">
        <f t="shared" si="0"/>
        <v>2016</v>
      </c>
      <c r="D23" t="str">
        <f t="shared" si="1"/>
        <v>Oct</v>
      </c>
      <c r="E23">
        <f t="shared" si="2"/>
        <v>10</v>
      </c>
    </row>
    <row r="24" spans="1:5" x14ac:dyDescent="0.3">
      <c r="A24" t="s">
        <v>29</v>
      </c>
      <c r="B24" s="2">
        <v>1436981</v>
      </c>
      <c r="C24" t="str">
        <f t="shared" si="0"/>
        <v>2016</v>
      </c>
      <c r="D24" t="str">
        <f t="shared" si="1"/>
        <v>Nov</v>
      </c>
      <c r="E24">
        <f t="shared" si="2"/>
        <v>11</v>
      </c>
    </row>
    <row r="25" spans="1:5" x14ac:dyDescent="0.3">
      <c r="A25" t="s">
        <v>30</v>
      </c>
      <c r="B25" s="2">
        <v>1715987</v>
      </c>
      <c r="C25" t="str">
        <f t="shared" si="0"/>
        <v>2016</v>
      </c>
      <c r="D25" t="str">
        <f t="shared" si="1"/>
        <v>Dec</v>
      </c>
      <c r="E25">
        <f t="shared" si="2"/>
        <v>12</v>
      </c>
    </row>
    <row r="26" spans="1:5" x14ac:dyDescent="0.3">
      <c r="A26" t="s">
        <v>31</v>
      </c>
      <c r="B26" s="2">
        <v>898241</v>
      </c>
      <c r="C26" t="str">
        <f t="shared" si="0"/>
        <v>2017</v>
      </c>
      <c r="D26" t="str">
        <f t="shared" si="1"/>
        <v>Jan</v>
      </c>
      <c r="E26">
        <f t="shared" si="2"/>
        <v>1</v>
      </c>
    </row>
    <row r="27" spans="1:5" x14ac:dyDescent="0.3">
      <c r="A27" t="s">
        <v>32</v>
      </c>
      <c r="B27" s="2">
        <v>812207</v>
      </c>
      <c r="C27" t="str">
        <f t="shared" si="0"/>
        <v>2017</v>
      </c>
      <c r="D27" t="str">
        <f t="shared" si="1"/>
        <v>Feb</v>
      </c>
      <c r="E27">
        <f t="shared" si="2"/>
        <v>2</v>
      </c>
    </row>
    <row r="28" spans="1:5" x14ac:dyDescent="0.3">
      <c r="A28" t="s">
        <v>33</v>
      </c>
      <c r="B28" s="2">
        <v>945945</v>
      </c>
      <c r="C28" t="str">
        <f t="shared" si="0"/>
        <v>2017</v>
      </c>
      <c r="D28" t="str">
        <f t="shared" si="1"/>
        <v>Mar</v>
      </c>
      <c r="E28">
        <f t="shared" si="2"/>
        <v>3</v>
      </c>
    </row>
    <row r="29" spans="1:5" x14ac:dyDescent="0.3">
      <c r="A29" t="s">
        <v>34</v>
      </c>
      <c r="B29" s="2">
        <v>1057336</v>
      </c>
      <c r="C29" t="str">
        <f t="shared" si="0"/>
        <v>2017</v>
      </c>
      <c r="D29" t="str">
        <f t="shared" si="1"/>
        <v>Apr</v>
      </c>
      <c r="E29">
        <f t="shared" si="2"/>
        <v>4</v>
      </c>
    </row>
    <row r="30" spans="1:5" x14ac:dyDescent="0.3">
      <c r="A30" t="s">
        <v>35</v>
      </c>
      <c r="B30" s="2">
        <v>1052369</v>
      </c>
      <c r="C30" t="str">
        <f t="shared" si="0"/>
        <v>2017</v>
      </c>
      <c r="D30" t="str">
        <f t="shared" si="1"/>
        <v>May</v>
      </c>
      <c r="E30">
        <f t="shared" si="2"/>
        <v>5</v>
      </c>
    </row>
    <row r="31" spans="1:5" x14ac:dyDescent="0.3">
      <c r="A31" t="s">
        <v>36</v>
      </c>
      <c r="B31" s="2">
        <v>1128177</v>
      </c>
      <c r="C31" t="str">
        <f t="shared" si="0"/>
        <v>2017</v>
      </c>
      <c r="D31" t="str">
        <f t="shared" si="1"/>
        <v>Jun</v>
      </c>
      <c r="E31">
        <f t="shared" si="2"/>
        <v>6</v>
      </c>
    </row>
    <row r="32" spans="1:5" x14ac:dyDescent="0.3">
      <c r="A32" t="s">
        <v>37</v>
      </c>
      <c r="B32" s="2">
        <v>1200438</v>
      </c>
      <c r="C32" t="str">
        <f t="shared" si="0"/>
        <v>2017</v>
      </c>
      <c r="D32" t="str">
        <f t="shared" si="1"/>
        <v>Jul</v>
      </c>
      <c r="E32">
        <f t="shared" si="2"/>
        <v>7</v>
      </c>
    </row>
    <row r="33" spans="1:5" x14ac:dyDescent="0.3">
      <c r="A33" t="s">
        <v>38</v>
      </c>
      <c r="B33" s="2">
        <v>1170085</v>
      </c>
      <c r="C33" t="str">
        <f t="shared" si="0"/>
        <v>2017</v>
      </c>
      <c r="D33" t="str">
        <f t="shared" si="1"/>
        <v>Aug</v>
      </c>
      <c r="E33">
        <f t="shared" si="2"/>
        <v>8</v>
      </c>
    </row>
    <row r="34" spans="1:5" x14ac:dyDescent="0.3">
      <c r="A34" t="s">
        <v>39</v>
      </c>
      <c r="B34" s="2">
        <v>1040577</v>
      </c>
      <c r="C34" t="str">
        <f t="shared" ref="C34:C65" si="3">LEFT(A34,4)</f>
        <v>2017</v>
      </c>
      <c r="D34" t="str">
        <f t="shared" ref="D34:D65" si="4">TEXT(DATEVALUE(A34&amp;"-01"),"[$-en-US]mmm")</f>
        <v>Sep</v>
      </c>
      <c r="E34">
        <f t="shared" ref="E34:E65" si="5">MONTH(DATEVALUE(A34&amp;"-01"))</f>
        <v>9</v>
      </c>
    </row>
    <row r="35" spans="1:5" x14ac:dyDescent="0.3">
      <c r="A35" t="s">
        <v>40</v>
      </c>
      <c r="B35" s="2">
        <v>1143418</v>
      </c>
      <c r="C35" t="str">
        <f t="shared" si="3"/>
        <v>2017</v>
      </c>
      <c r="D35" t="str">
        <f t="shared" si="4"/>
        <v>Oct</v>
      </c>
      <c r="E35">
        <f t="shared" si="5"/>
        <v>10</v>
      </c>
    </row>
    <row r="36" spans="1:5" x14ac:dyDescent="0.3">
      <c r="A36" t="s">
        <v>41</v>
      </c>
      <c r="B36" s="2">
        <v>1543049</v>
      </c>
      <c r="C36" t="str">
        <f t="shared" si="3"/>
        <v>2017</v>
      </c>
      <c r="D36" t="str">
        <f t="shared" si="4"/>
        <v>Nov</v>
      </c>
      <c r="E36">
        <f t="shared" si="5"/>
        <v>11</v>
      </c>
    </row>
    <row r="37" spans="1:5" x14ac:dyDescent="0.3">
      <c r="A37" t="s">
        <v>42</v>
      </c>
      <c r="B37" s="2">
        <v>1733102</v>
      </c>
      <c r="C37" t="str">
        <f t="shared" si="3"/>
        <v>2017</v>
      </c>
      <c r="D37" t="str">
        <f t="shared" si="4"/>
        <v>Dec</v>
      </c>
      <c r="E37">
        <f t="shared" si="5"/>
        <v>12</v>
      </c>
    </row>
    <row r="38" spans="1:5" x14ac:dyDescent="0.3">
      <c r="A38" t="s">
        <v>43</v>
      </c>
      <c r="B38" s="2">
        <v>950208</v>
      </c>
      <c r="C38" t="str">
        <f t="shared" si="3"/>
        <v>2018</v>
      </c>
      <c r="D38" t="str">
        <f t="shared" si="4"/>
        <v>Jan</v>
      </c>
      <c r="E38">
        <f t="shared" si="5"/>
        <v>1</v>
      </c>
    </row>
    <row r="39" spans="1:5" x14ac:dyDescent="0.3">
      <c r="A39" t="s">
        <v>44</v>
      </c>
      <c r="B39" s="2">
        <v>807533</v>
      </c>
      <c r="C39" t="str">
        <f t="shared" si="3"/>
        <v>2018</v>
      </c>
      <c r="D39" t="str">
        <f t="shared" si="4"/>
        <v>Feb</v>
      </c>
      <c r="E39">
        <f t="shared" si="5"/>
        <v>2</v>
      </c>
    </row>
    <row r="40" spans="1:5" x14ac:dyDescent="0.3">
      <c r="A40" t="s">
        <v>45</v>
      </c>
      <c r="B40" s="2">
        <v>1001505</v>
      </c>
      <c r="C40" t="str">
        <f t="shared" si="3"/>
        <v>2018</v>
      </c>
      <c r="D40" t="str">
        <f t="shared" si="4"/>
        <v>Mar</v>
      </c>
      <c r="E40">
        <f t="shared" si="5"/>
        <v>3</v>
      </c>
    </row>
    <row r="41" spans="1:5" x14ac:dyDescent="0.3">
      <c r="A41" t="s">
        <v>46</v>
      </c>
      <c r="B41" s="2">
        <v>983544</v>
      </c>
      <c r="C41" t="str">
        <f t="shared" si="3"/>
        <v>2018</v>
      </c>
      <c r="D41" t="str">
        <f t="shared" si="4"/>
        <v>Apr</v>
      </c>
      <c r="E41">
        <f t="shared" si="5"/>
        <v>4</v>
      </c>
    </row>
    <row r="42" spans="1:5" x14ac:dyDescent="0.3">
      <c r="A42" t="s">
        <v>47</v>
      </c>
      <c r="B42" s="2">
        <v>1108437</v>
      </c>
      <c r="C42" t="str">
        <f t="shared" si="3"/>
        <v>2018</v>
      </c>
      <c r="D42" t="str">
        <f t="shared" si="4"/>
        <v>May</v>
      </c>
      <c r="E42">
        <f t="shared" si="5"/>
        <v>5</v>
      </c>
    </row>
    <row r="43" spans="1:5" x14ac:dyDescent="0.3">
      <c r="A43" t="s">
        <v>48</v>
      </c>
      <c r="B43" s="2">
        <v>1099314</v>
      </c>
      <c r="C43" t="str">
        <f t="shared" si="3"/>
        <v>2018</v>
      </c>
      <c r="D43" t="str">
        <f t="shared" si="4"/>
        <v>Jun</v>
      </c>
      <c r="E43">
        <f t="shared" si="5"/>
        <v>6</v>
      </c>
    </row>
    <row r="44" spans="1:5" x14ac:dyDescent="0.3">
      <c r="A44" t="s">
        <v>49</v>
      </c>
      <c r="B44" s="2">
        <v>1262529</v>
      </c>
      <c r="C44" t="str">
        <f t="shared" si="3"/>
        <v>2018</v>
      </c>
      <c r="D44" t="str">
        <f t="shared" si="4"/>
        <v>Jul</v>
      </c>
      <c r="E44">
        <f t="shared" si="5"/>
        <v>7</v>
      </c>
    </row>
    <row r="45" spans="1:5" x14ac:dyDescent="0.3">
      <c r="A45" t="s">
        <v>50</v>
      </c>
      <c r="B45" s="2">
        <v>1228263</v>
      </c>
      <c r="C45" t="str">
        <f t="shared" si="3"/>
        <v>2018</v>
      </c>
      <c r="D45" t="str">
        <f t="shared" si="4"/>
        <v>Aug</v>
      </c>
      <c r="E45">
        <f t="shared" si="5"/>
        <v>8</v>
      </c>
    </row>
    <row r="46" spans="1:5" x14ac:dyDescent="0.3">
      <c r="A46" t="s">
        <v>51</v>
      </c>
      <c r="B46" s="2">
        <v>1087898</v>
      </c>
      <c r="C46" t="str">
        <f t="shared" si="3"/>
        <v>2018</v>
      </c>
      <c r="D46" t="str">
        <f t="shared" si="4"/>
        <v>Sep</v>
      </c>
      <c r="E46">
        <f t="shared" si="5"/>
        <v>9</v>
      </c>
    </row>
    <row r="47" spans="1:5" x14ac:dyDescent="0.3">
      <c r="A47" t="s">
        <v>52</v>
      </c>
      <c r="B47" s="2">
        <v>1151539</v>
      </c>
      <c r="C47" t="str">
        <f t="shared" si="3"/>
        <v>2018</v>
      </c>
      <c r="D47" t="str">
        <f t="shared" si="4"/>
        <v>Oct</v>
      </c>
      <c r="E47">
        <f t="shared" si="5"/>
        <v>10</v>
      </c>
    </row>
    <row r="48" spans="1:5" x14ac:dyDescent="0.3">
      <c r="A48" t="s">
        <v>53</v>
      </c>
      <c r="B48" s="2">
        <v>1573794</v>
      </c>
      <c r="C48" t="str">
        <f t="shared" si="3"/>
        <v>2018</v>
      </c>
      <c r="D48" t="str">
        <f t="shared" si="4"/>
        <v>Nov</v>
      </c>
      <c r="E48">
        <f t="shared" si="5"/>
        <v>11</v>
      </c>
    </row>
    <row r="49" spans="1:5" x14ac:dyDescent="0.3">
      <c r="A49" t="s">
        <v>54</v>
      </c>
      <c r="B49" s="2">
        <v>1871166</v>
      </c>
      <c r="C49" t="str">
        <f t="shared" si="3"/>
        <v>2018</v>
      </c>
      <c r="D49" t="str">
        <f t="shared" si="4"/>
        <v>Dec</v>
      </c>
      <c r="E49">
        <f t="shared" si="5"/>
        <v>12</v>
      </c>
    </row>
    <row r="50" spans="1:5" x14ac:dyDescent="0.3">
      <c r="A50" t="s">
        <v>55</v>
      </c>
      <c r="B50" s="2">
        <v>1007226</v>
      </c>
      <c r="C50" t="str">
        <f t="shared" si="3"/>
        <v>2019</v>
      </c>
      <c r="D50" t="str">
        <f t="shared" si="4"/>
        <v>Jan</v>
      </c>
      <c r="E50">
        <f t="shared" si="5"/>
        <v>1</v>
      </c>
    </row>
    <row r="51" spans="1:5" x14ac:dyDescent="0.3">
      <c r="A51" t="s">
        <v>56</v>
      </c>
      <c r="B51" s="2">
        <v>871286</v>
      </c>
      <c r="C51" t="str">
        <f t="shared" si="3"/>
        <v>2019</v>
      </c>
      <c r="D51" t="str">
        <f t="shared" si="4"/>
        <v>Feb</v>
      </c>
      <c r="E51">
        <f t="shared" si="5"/>
        <v>2</v>
      </c>
    </row>
    <row r="52" spans="1:5" x14ac:dyDescent="0.3">
      <c r="A52" t="s">
        <v>57</v>
      </c>
      <c r="B52" s="2">
        <v>1053012</v>
      </c>
      <c r="C52" t="str">
        <f t="shared" si="3"/>
        <v>2019</v>
      </c>
      <c r="D52" t="str">
        <f t="shared" si="4"/>
        <v>Mar</v>
      </c>
      <c r="E52">
        <f t="shared" si="5"/>
        <v>3</v>
      </c>
    </row>
    <row r="53" spans="1:5" x14ac:dyDescent="0.3">
      <c r="A53" t="s">
        <v>58</v>
      </c>
      <c r="B53" s="2">
        <v>1119712</v>
      </c>
      <c r="C53" t="str">
        <f t="shared" si="3"/>
        <v>2019</v>
      </c>
      <c r="D53" t="str">
        <f t="shared" si="4"/>
        <v>Apr</v>
      </c>
      <c r="E53">
        <f t="shared" si="5"/>
        <v>4</v>
      </c>
    </row>
    <row r="54" spans="1:5" x14ac:dyDescent="0.3">
      <c r="A54" t="s">
        <v>59</v>
      </c>
      <c r="B54" s="2">
        <v>1122213</v>
      </c>
      <c r="C54" t="str">
        <f t="shared" si="3"/>
        <v>2019</v>
      </c>
      <c r="D54" t="str">
        <f t="shared" si="4"/>
        <v>May</v>
      </c>
      <c r="E54">
        <f t="shared" si="5"/>
        <v>5</v>
      </c>
    </row>
    <row r="55" spans="1:5" x14ac:dyDescent="0.3">
      <c r="A55" t="s">
        <v>60</v>
      </c>
      <c r="B55" s="2">
        <v>1132176</v>
      </c>
      <c r="C55" t="str">
        <f t="shared" si="3"/>
        <v>2019</v>
      </c>
      <c r="D55" t="str">
        <f t="shared" si="4"/>
        <v>Jun</v>
      </c>
      <c r="E55">
        <f t="shared" si="5"/>
        <v>6</v>
      </c>
    </row>
    <row r="56" spans="1:5" x14ac:dyDescent="0.3">
      <c r="A56" t="s">
        <v>61</v>
      </c>
      <c r="B56" s="2">
        <v>1294748</v>
      </c>
      <c r="C56" t="str">
        <f t="shared" si="3"/>
        <v>2019</v>
      </c>
      <c r="D56" t="str">
        <f t="shared" si="4"/>
        <v>Jul</v>
      </c>
      <c r="E56">
        <f t="shared" si="5"/>
        <v>7</v>
      </c>
    </row>
    <row r="57" spans="1:5" x14ac:dyDescent="0.3">
      <c r="A57" t="s">
        <v>62</v>
      </c>
      <c r="B57" s="2">
        <v>1264952</v>
      </c>
      <c r="C57" t="str">
        <f t="shared" si="3"/>
        <v>2019</v>
      </c>
      <c r="D57" t="str">
        <f t="shared" si="4"/>
        <v>Aug</v>
      </c>
      <c r="E57">
        <f t="shared" si="5"/>
        <v>8</v>
      </c>
    </row>
    <row r="58" spans="1:5" x14ac:dyDescent="0.3">
      <c r="A58" t="s">
        <v>63</v>
      </c>
      <c r="B58" s="2">
        <v>1092053</v>
      </c>
      <c r="C58" t="str">
        <f t="shared" si="3"/>
        <v>2019</v>
      </c>
      <c r="D58" t="str">
        <f t="shared" si="4"/>
        <v>Sep</v>
      </c>
      <c r="E58">
        <f t="shared" si="5"/>
        <v>9</v>
      </c>
    </row>
    <row r="59" spans="1:5" x14ac:dyDescent="0.3">
      <c r="A59" t="s">
        <v>64</v>
      </c>
      <c r="B59" s="2">
        <v>1187797</v>
      </c>
      <c r="C59" t="str">
        <f t="shared" si="3"/>
        <v>2019</v>
      </c>
      <c r="D59" t="str">
        <f t="shared" si="4"/>
        <v>Oct</v>
      </c>
      <c r="E59">
        <f t="shared" si="5"/>
        <v>10</v>
      </c>
    </row>
    <row r="60" spans="1:5" x14ac:dyDescent="0.3">
      <c r="A60" t="s">
        <v>65</v>
      </c>
      <c r="B60" s="2">
        <v>1673556</v>
      </c>
      <c r="C60" t="str">
        <f t="shared" si="3"/>
        <v>2019</v>
      </c>
      <c r="D60" t="str">
        <f t="shared" si="4"/>
        <v>Nov</v>
      </c>
      <c r="E60">
        <f t="shared" si="5"/>
        <v>11</v>
      </c>
    </row>
    <row r="61" spans="1:5" x14ac:dyDescent="0.3">
      <c r="A61" t="s">
        <v>66</v>
      </c>
      <c r="B61" s="2">
        <v>1928967</v>
      </c>
      <c r="C61" t="str">
        <f t="shared" si="3"/>
        <v>2019</v>
      </c>
      <c r="D61" t="str">
        <f t="shared" si="4"/>
        <v>Dec</v>
      </c>
      <c r="E61">
        <f t="shared" si="5"/>
        <v>12</v>
      </c>
    </row>
    <row r="62" spans="1:5" x14ac:dyDescent="0.3">
      <c r="A62" t="s">
        <v>67</v>
      </c>
      <c r="B62" s="2">
        <v>1017300</v>
      </c>
      <c r="C62" t="str">
        <f t="shared" si="3"/>
        <v>2020</v>
      </c>
      <c r="D62" t="str">
        <f t="shared" si="4"/>
        <v>Jan</v>
      </c>
      <c r="E62">
        <f t="shared" si="5"/>
        <v>1</v>
      </c>
    </row>
    <row r="63" spans="1:5" x14ac:dyDescent="0.3">
      <c r="A63" t="s">
        <v>68</v>
      </c>
      <c r="B63" s="2">
        <v>882789</v>
      </c>
      <c r="C63" t="str">
        <f t="shared" si="3"/>
        <v>2020</v>
      </c>
      <c r="D63" t="str">
        <f t="shared" si="4"/>
        <v>Feb</v>
      </c>
      <c r="E63">
        <f t="shared" si="5"/>
        <v>2</v>
      </c>
    </row>
    <row r="64" spans="1:5" x14ac:dyDescent="0.3">
      <c r="A64" t="s">
        <v>69</v>
      </c>
      <c r="B64" s="2">
        <v>1046838</v>
      </c>
      <c r="C64" t="str">
        <f t="shared" si="3"/>
        <v>2020</v>
      </c>
      <c r="D64" t="str">
        <f t="shared" si="4"/>
        <v>Mar</v>
      </c>
      <c r="E64">
        <f t="shared" si="5"/>
        <v>3</v>
      </c>
    </row>
    <row r="65" spans="1:5" x14ac:dyDescent="0.3">
      <c r="A65" t="s">
        <v>70</v>
      </c>
      <c r="B65" s="2">
        <v>1073522</v>
      </c>
      <c r="C65" t="str">
        <f t="shared" si="3"/>
        <v>2020</v>
      </c>
      <c r="D65" t="str">
        <f t="shared" si="4"/>
        <v>Apr</v>
      </c>
      <c r="E65">
        <f t="shared" si="5"/>
        <v>4</v>
      </c>
    </row>
    <row r="66" spans="1:5" x14ac:dyDescent="0.3">
      <c r="A66" t="s">
        <v>71</v>
      </c>
      <c r="B66" s="2">
        <v>1209530</v>
      </c>
      <c r="C66" t="str">
        <f t="shared" ref="C66:C97" si="6">LEFT(A66,4)</f>
        <v>2020</v>
      </c>
      <c r="D66" t="str">
        <f t="shared" ref="D66:D97" si="7">TEXT(DATEVALUE(A66&amp;"-01"),"[$-en-US]mmm")</f>
        <v>May</v>
      </c>
      <c r="E66">
        <f t="shared" ref="E66:E97" si="8">MONTH(DATEVALUE(A66&amp;"-01"))</f>
        <v>5</v>
      </c>
    </row>
    <row r="67" spans="1:5" x14ac:dyDescent="0.3">
      <c r="A67" t="s">
        <v>72</v>
      </c>
      <c r="B67" s="2">
        <v>1223975</v>
      </c>
      <c r="C67" t="str">
        <f t="shared" si="6"/>
        <v>2020</v>
      </c>
      <c r="D67" t="str">
        <f t="shared" si="7"/>
        <v>Jun</v>
      </c>
      <c r="E67">
        <f t="shared" si="8"/>
        <v>6</v>
      </c>
    </row>
    <row r="68" spans="1:5" x14ac:dyDescent="0.3">
      <c r="A68" t="s">
        <v>73</v>
      </c>
      <c r="B68" s="2">
        <v>1345059</v>
      </c>
      <c r="C68" t="str">
        <f t="shared" si="6"/>
        <v>2020</v>
      </c>
      <c r="D68" t="str">
        <f t="shared" si="7"/>
        <v>Jul</v>
      </c>
      <c r="E68">
        <f t="shared" si="8"/>
        <v>7</v>
      </c>
    </row>
    <row r="69" spans="1:5" x14ac:dyDescent="0.3">
      <c r="A69" t="s">
        <v>74</v>
      </c>
      <c r="B69" s="2">
        <v>1282330</v>
      </c>
      <c r="C69" t="str">
        <f t="shared" si="6"/>
        <v>2020</v>
      </c>
      <c r="D69" t="str">
        <f t="shared" si="7"/>
        <v>Aug</v>
      </c>
      <c r="E69">
        <f t="shared" si="8"/>
        <v>8</v>
      </c>
    </row>
    <row r="70" spans="1:5" x14ac:dyDescent="0.3">
      <c r="A70" t="s">
        <v>75</v>
      </c>
      <c r="B70" s="2">
        <v>1144825</v>
      </c>
      <c r="C70" t="str">
        <f t="shared" si="6"/>
        <v>2020</v>
      </c>
      <c r="D70" t="str">
        <f t="shared" si="7"/>
        <v>Sep</v>
      </c>
      <c r="E70">
        <f t="shared" si="8"/>
        <v>9</v>
      </c>
    </row>
    <row r="71" spans="1:5" x14ac:dyDescent="0.3">
      <c r="A71" t="s">
        <v>76</v>
      </c>
      <c r="B71" s="2">
        <v>1238169</v>
      </c>
      <c r="C71" t="str">
        <f t="shared" si="6"/>
        <v>2020</v>
      </c>
      <c r="D71" t="str">
        <f t="shared" si="7"/>
        <v>Oct</v>
      </c>
      <c r="E71">
        <f t="shared" si="8"/>
        <v>10</v>
      </c>
    </row>
    <row r="72" spans="1:5" x14ac:dyDescent="0.3">
      <c r="A72" t="s">
        <v>77</v>
      </c>
      <c r="B72" s="2">
        <v>1739783</v>
      </c>
      <c r="C72" t="str">
        <f t="shared" si="6"/>
        <v>2020</v>
      </c>
      <c r="D72" t="str">
        <f t="shared" si="7"/>
        <v>Nov</v>
      </c>
      <c r="E72">
        <f t="shared" si="8"/>
        <v>11</v>
      </c>
    </row>
    <row r="73" spans="1:5" x14ac:dyDescent="0.3">
      <c r="A73" t="s">
        <v>78</v>
      </c>
      <c r="B73" s="2">
        <v>1965877</v>
      </c>
      <c r="C73" t="str">
        <f t="shared" si="6"/>
        <v>2020</v>
      </c>
      <c r="D73" t="str">
        <f t="shared" si="7"/>
        <v>Dec</v>
      </c>
      <c r="E73">
        <f t="shared" si="8"/>
        <v>12</v>
      </c>
    </row>
    <row r="74" spans="1:5" x14ac:dyDescent="0.3">
      <c r="A74" t="s">
        <v>79</v>
      </c>
      <c r="B74" s="2">
        <v>966731</v>
      </c>
      <c r="C74" t="str">
        <f t="shared" si="6"/>
        <v>2021</v>
      </c>
      <c r="D74" t="str">
        <f t="shared" si="7"/>
        <v>Jan</v>
      </c>
      <c r="E74">
        <f t="shared" si="8"/>
        <v>1</v>
      </c>
    </row>
    <row r="75" spans="1:5" x14ac:dyDescent="0.3">
      <c r="A75" t="s">
        <v>80</v>
      </c>
      <c r="B75" s="2">
        <v>893068</v>
      </c>
      <c r="C75" t="str">
        <f t="shared" si="6"/>
        <v>2021</v>
      </c>
      <c r="D75" t="str">
        <f t="shared" si="7"/>
        <v>Feb</v>
      </c>
      <c r="E75">
        <f t="shared" si="8"/>
        <v>2</v>
      </c>
    </row>
    <row r="76" spans="1:5" x14ac:dyDescent="0.3">
      <c r="A76" t="s">
        <v>81</v>
      </c>
      <c r="B76" s="2">
        <v>1171921</v>
      </c>
      <c r="C76" t="str">
        <f t="shared" si="6"/>
        <v>2021</v>
      </c>
      <c r="D76" t="str">
        <f t="shared" si="7"/>
        <v>Mar</v>
      </c>
      <c r="E76">
        <f t="shared" si="8"/>
        <v>3</v>
      </c>
    </row>
    <row r="77" spans="1:5" x14ac:dyDescent="0.3">
      <c r="A77" t="s">
        <v>82</v>
      </c>
      <c r="B77" s="2">
        <v>1204030</v>
      </c>
      <c r="C77" t="str">
        <f t="shared" si="6"/>
        <v>2021</v>
      </c>
      <c r="D77" t="str">
        <f t="shared" si="7"/>
        <v>Apr</v>
      </c>
      <c r="E77">
        <f t="shared" si="8"/>
        <v>4</v>
      </c>
    </row>
    <row r="78" spans="1:5" x14ac:dyDescent="0.3">
      <c r="A78" t="s">
        <v>83</v>
      </c>
      <c r="B78" s="2">
        <v>1335532</v>
      </c>
      <c r="C78" t="str">
        <f t="shared" si="6"/>
        <v>2021</v>
      </c>
      <c r="D78" t="str">
        <f t="shared" si="7"/>
        <v>May</v>
      </c>
      <c r="E78">
        <f t="shared" si="8"/>
        <v>5</v>
      </c>
    </row>
    <row r="79" spans="1:5" x14ac:dyDescent="0.3">
      <c r="A79" t="s">
        <v>84</v>
      </c>
      <c r="B79" s="2">
        <v>1249755</v>
      </c>
      <c r="C79" t="str">
        <f t="shared" si="6"/>
        <v>2021</v>
      </c>
      <c r="D79" t="str">
        <f t="shared" si="7"/>
        <v>Jun</v>
      </c>
      <c r="E79">
        <f t="shared" si="8"/>
        <v>6</v>
      </c>
    </row>
    <row r="80" spans="1:5" x14ac:dyDescent="0.3">
      <c r="A80" t="s">
        <v>85</v>
      </c>
      <c r="B80" s="2">
        <v>1349785</v>
      </c>
      <c r="C80" t="str">
        <f t="shared" si="6"/>
        <v>2021</v>
      </c>
      <c r="D80" t="str">
        <f t="shared" si="7"/>
        <v>Jul</v>
      </c>
      <c r="E80">
        <f t="shared" si="8"/>
        <v>7</v>
      </c>
    </row>
    <row r="81" spans="1:5" x14ac:dyDescent="0.3">
      <c r="A81" t="s">
        <v>86</v>
      </c>
      <c r="B81" s="2">
        <v>1320872</v>
      </c>
      <c r="C81" t="str">
        <f t="shared" si="6"/>
        <v>2021</v>
      </c>
      <c r="D81" t="str">
        <f t="shared" si="7"/>
        <v>Aug</v>
      </c>
      <c r="E81">
        <f t="shared" si="8"/>
        <v>8</v>
      </c>
    </row>
    <row r="82" spans="1:5" x14ac:dyDescent="0.3">
      <c r="A82" t="s">
        <v>87</v>
      </c>
      <c r="B82" s="2">
        <v>1164917</v>
      </c>
      <c r="C82" t="str">
        <f t="shared" si="6"/>
        <v>2021</v>
      </c>
      <c r="D82" t="str">
        <f t="shared" si="7"/>
        <v>Sep</v>
      </c>
      <c r="E82">
        <f t="shared" si="8"/>
        <v>9</v>
      </c>
    </row>
    <row r="83" spans="1:5" x14ac:dyDescent="0.3">
      <c r="A83" t="s">
        <v>88</v>
      </c>
      <c r="B83" s="2">
        <v>1314022</v>
      </c>
      <c r="C83" t="str">
        <f t="shared" si="6"/>
        <v>2021</v>
      </c>
      <c r="D83" t="str">
        <f t="shared" si="7"/>
        <v>Oct</v>
      </c>
      <c r="E83">
        <f t="shared" si="8"/>
        <v>10</v>
      </c>
    </row>
    <row r="84" spans="1:5" x14ac:dyDescent="0.3">
      <c r="A84" t="s">
        <v>89</v>
      </c>
      <c r="B84" s="2">
        <v>1739191</v>
      </c>
      <c r="C84" t="str">
        <f t="shared" si="6"/>
        <v>2021</v>
      </c>
      <c r="D84" t="str">
        <f t="shared" si="7"/>
        <v>Nov</v>
      </c>
      <c r="E84">
        <f t="shared" si="8"/>
        <v>11</v>
      </c>
    </row>
    <row r="85" spans="1:5" x14ac:dyDescent="0.3">
      <c r="A85" t="s">
        <v>90</v>
      </c>
      <c r="B85" s="2">
        <v>1994929</v>
      </c>
      <c r="C85" t="str">
        <f t="shared" si="6"/>
        <v>2021</v>
      </c>
      <c r="D85" t="str">
        <f t="shared" si="7"/>
        <v>Dec</v>
      </c>
      <c r="E85">
        <f t="shared" si="8"/>
        <v>12</v>
      </c>
    </row>
    <row r="86" spans="1:5" x14ac:dyDescent="0.3">
      <c r="A86" t="s">
        <v>91</v>
      </c>
      <c r="B86" s="2">
        <v>1105134</v>
      </c>
      <c r="C86" t="str">
        <f t="shared" si="6"/>
        <v>2022</v>
      </c>
      <c r="D86" t="str">
        <f t="shared" si="7"/>
        <v>Jan</v>
      </c>
      <c r="E86">
        <f t="shared" si="8"/>
        <v>1</v>
      </c>
    </row>
    <row r="87" spans="1:5" x14ac:dyDescent="0.3">
      <c r="A87" t="s">
        <v>92</v>
      </c>
      <c r="B87" s="2">
        <v>922661</v>
      </c>
      <c r="C87" t="str">
        <f t="shared" si="6"/>
        <v>2022</v>
      </c>
      <c r="D87" t="str">
        <f t="shared" si="7"/>
        <v>Feb</v>
      </c>
      <c r="E87">
        <f t="shared" si="8"/>
        <v>2</v>
      </c>
    </row>
    <row r="88" spans="1:5" x14ac:dyDescent="0.3">
      <c r="A88" t="s">
        <v>93</v>
      </c>
      <c r="B88" s="2">
        <v>1173047</v>
      </c>
      <c r="C88" t="str">
        <f t="shared" si="6"/>
        <v>2022</v>
      </c>
      <c r="D88" t="str">
        <f t="shared" si="7"/>
        <v>Mar</v>
      </c>
      <c r="E88">
        <f t="shared" si="8"/>
        <v>3</v>
      </c>
    </row>
    <row r="89" spans="1:5" x14ac:dyDescent="0.3">
      <c r="A89" t="s">
        <v>94</v>
      </c>
      <c r="B89" s="2">
        <v>1195168</v>
      </c>
      <c r="C89" t="str">
        <f t="shared" si="6"/>
        <v>2022</v>
      </c>
      <c r="D89" t="str">
        <f t="shared" si="7"/>
        <v>Apr</v>
      </c>
      <c r="E89">
        <f t="shared" si="8"/>
        <v>4</v>
      </c>
    </row>
    <row r="90" spans="1:5" x14ac:dyDescent="0.3">
      <c r="A90" t="s">
        <v>95</v>
      </c>
      <c r="B90" s="2">
        <v>1289175</v>
      </c>
      <c r="C90" t="str">
        <f t="shared" si="6"/>
        <v>2022</v>
      </c>
      <c r="D90" t="str">
        <f t="shared" si="7"/>
        <v>May</v>
      </c>
      <c r="E90">
        <f t="shared" si="8"/>
        <v>5</v>
      </c>
    </row>
    <row r="91" spans="1:5" x14ac:dyDescent="0.3">
      <c r="A91" t="s">
        <v>96</v>
      </c>
      <c r="B91" s="2">
        <v>1307459</v>
      </c>
      <c r="C91" t="str">
        <f t="shared" si="6"/>
        <v>2022</v>
      </c>
      <c r="D91" t="str">
        <f t="shared" si="7"/>
        <v>Jun</v>
      </c>
      <c r="E91">
        <f t="shared" si="8"/>
        <v>6</v>
      </c>
    </row>
    <row r="92" spans="1:5" x14ac:dyDescent="0.3">
      <c r="A92" t="s">
        <v>97</v>
      </c>
      <c r="B92" s="2">
        <v>1397256</v>
      </c>
      <c r="C92" t="str">
        <f t="shared" si="6"/>
        <v>2022</v>
      </c>
      <c r="D92" t="str">
        <f t="shared" si="7"/>
        <v>Jul</v>
      </c>
      <c r="E92">
        <f t="shared" si="8"/>
        <v>7</v>
      </c>
    </row>
    <row r="93" spans="1:5" x14ac:dyDescent="0.3">
      <c r="A93" t="s">
        <v>98</v>
      </c>
      <c r="B93" s="2">
        <v>1389825</v>
      </c>
      <c r="C93" t="str">
        <f t="shared" si="6"/>
        <v>2022</v>
      </c>
      <c r="D93" t="str">
        <f t="shared" si="7"/>
        <v>Aug</v>
      </c>
      <c r="E93">
        <f t="shared" si="8"/>
        <v>8</v>
      </c>
    </row>
    <row r="94" spans="1:5" x14ac:dyDescent="0.3">
      <c r="A94" t="s">
        <v>99</v>
      </c>
      <c r="B94" s="2">
        <v>1253385</v>
      </c>
      <c r="C94" t="str">
        <f t="shared" si="6"/>
        <v>2022</v>
      </c>
      <c r="D94" t="str">
        <f t="shared" si="7"/>
        <v>Sep</v>
      </c>
      <c r="E94">
        <f t="shared" si="8"/>
        <v>9</v>
      </c>
    </row>
    <row r="95" spans="1:5" x14ac:dyDescent="0.3">
      <c r="A95" t="s">
        <v>100</v>
      </c>
      <c r="B95" s="2">
        <v>1315062</v>
      </c>
      <c r="C95" t="str">
        <f t="shared" si="6"/>
        <v>2022</v>
      </c>
      <c r="D95" t="str">
        <f t="shared" si="7"/>
        <v>Oct</v>
      </c>
      <c r="E95">
        <f t="shared" si="8"/>
        <v>10</v>
      </c>
    </row>
    <row r="96" spans="1:5" x14ac:dyDescent="0.3">
      <c r="A96" t="s">
        <v>101</v>
      </c>
      <c r="B96" s="2">
        <v>1809088</v>
      </c>
      <c r="C96" t="str">
        <f t="shared" si="6"/>
        <v>2022</v>
      </c>
      <c r="D96" t="str">
        <f t="shared" si="7"/>
        <v>Nov</v>
      </c>
      <c r="E96">
        <f t="shared" si="8"/>
        <v>11</v>
      </c>
    </row>
    <row r="97" spans="1:5" x14ac:dyDescent="0.3">
      <c r="A97" t="s">
        <v>102</v>
      </c>
      <c r="B97" s="2">
        <v>2142083</v>
      </c>
      <c r="C97" t="str">
        <f t="shared" si="6"/>
        <v>2022</v>
      </c>
      <c r="D97" t="str">
        <f t="shared" si="7"/>
        <v>Dec</v>
      </c>
      <c r="E97">
        <f t="shared" si="8"/>
        <v>12</v>
      </c>
    </row>
    <row r="98" spans="1:5" x14ac:dyDescent="0.3">
      <c r="A98" t="s">
        <v>103</v>
      </c>
      <c r="B98" s="2">
        <v>1138403</v>
      </c>
      <c r="C98" t="str">
        <f t="shared" ref="C98:C121" si="9">LEFT(A98,4)</f>
        <v>2023</v>
      </c>
      <c r="D98" t="str">
        <f t="shared" ref="D98:D121" si="10">TEXT(DATEVALUE(A98&amp;"-01"),"[$-en-US]mmm")</f>
        <v>Jan</v>
      </c>
      <c r="E98">
        <f t="shared" ref="E98:E121" si="11">MONTH(DATEVALUE(A98&amp;"-01"))</f>
        <v>1</v>
      </c>
    </row>
    <row r="99" spans="1:5" x14ac:dyDescent="0.3">
      <c r="A99" t="s">
        <v>104</v>
      </c>
      <c r="B99" s="2">
        <v>945580</v>
      </c>
      <c r="C99" t="str">
        <f t="shared" si="9"/>
        <v>2023</v>
      </c>
      <c r="D99" t="str">
        <f t="shared" si="10"/>
        <v>Feb</v>
      </c>
      <c r="E99">
        <f t="shared" si="11"/>
        <v>2</v>
      </c>
    </row>
    <row r="100" spans="1:5" x14ac:dyDescent="0.3">
      <c r="A100" t="s">
        <v>105</v>
      </c>
      <c r="B100" s="2">
        <v>1145399</v>
      </c>
      <c r="C100" t="str">
        <f t="shared" si="9"/>
        <v>2023</v>
      </c>
      <c r="D100" t="str">
        <f t="shared" si="10"/>
        <v>Mar</v>
      </c>
      <c r="E100">
        <f t="shared" si="11"/>
        <v>3</v>
      </c>
    </row>
    <row r="101" spans="1:5" x14ac:dyDescent="0.3">
      <c r="A101" t="s">
        <v>106</v>
      </c>
      <c r="B101" s="2">
        <v>1198763</v>
      </c>
      <c r="C101" t="str">
        <f t="shared" si="9"/>
        <v>2023</v>
      </c>
      <c r="D101" t="str">
        <f t="shared" si="10"/>
        <v>Apr</v>
      </c>
      <c r="E101">
        <f t="shared" si="11"/>
        <v>4</v>
      </c>
    </row>
    <row r="102" spans="1:5" x14ac:dyDescent="0.3">
      <c r="A102" t="s">
        <v>107</v>
      </c>
      <c r="B102" s="2">
        <v>1235374</v>
      </c>
      <c r="C102" t="str">
        <f t="shared" si="9"/>
        <v>2023</v>
      </c>
      <c r="D102" t="str">
        <f t="shared" si="10"/>
        <v>May</v>
      </c>
      <c r="E102">
        <f t="shared" si="11"/>
        <v>5</v>
      </c>
    </row>
    <row r="103" spans="1:5" x14ac:dyDescent="0.3">
      <c r="A103" t="s">
        <v>108</v>
      </c>
      <c r="B103" s="2">
        <v>1315596</v>
      </c>
      <c r="C103" t="str">
        <f t="shared" si="9"/>
        <v>2023</v>
      </c>
      <c r="D103" t="str">
        <f t="shared" si="10"/>
        <v>Jun</v>
      </c>
      <c r="E103">
        <f t="shared" si="11"/>
        <v>6</v>
      </c>
    </row>
    <row r="104" spans="1:5" x14ac:dyDescent="0.3">
      <c r="A104" t="s">
        <v>109</v>
      </c>
      <c r="B104" s="2">
        <v>1440960</v>
      </c>
      <c r="C104" t="str">
        <f t="shared" si="9"/>
        <v>2023</v>
      </c>
      <c r="D104" t="str">
        <f t="shared" si="10"/>
        <v>Jul</v>
      </c>
      <c r="E104">
        <f t="shared" si="11"/>
        <v>7</v>
      </c>
    </row>
    <row r="105" spans="1:5" x14ac:dyDescent="0.3">
      <c r="A105" t="s">
        <v>110</v>
      </c>
      <c r="B105" s="2">
        <v>1462384</v>
      </c>
      <c r="C105" t="str">
        <f t="shared" si="9"/>
        <v>2023</v>
      </c>
      <c r="D105" t="str">
        <f t="shared" si="10"/>
        <v>Aug</v>
      </c>
      <c r="E105">
        <f t="shared" si="11"/>
        <v>8</v>
      </c>
    </row>
    <row r="106" spans="1:5" x14ac:dyDescent="0.3">
      <c r="A106" t="s">
        <v>111</v>
      </c>
      <c r="B106" s="2">
        <v>1301181</v>
      </c>
      <c r="C106" t="str">
        <f t="shared" si="9"/>
        <v>2023</v>
      </c>
      <c r="D106" t="str">
        <f t="shared" si="10"/>
        <v>Sep</v>
      </c>
      <c r="E106">
        <f t="shared" si="11"/>
        <v>9</v>
      </c>
    </row>
    <row r="107" spans="1:5" x14ac:dyDescent="0.3">
      <c r="A107" t="s">
        <v>112</v>
      </c>
      <c r="B107" s="2">
        <v>1385048</v>
      </c>
      <c r="C107" t="str">
        <f t="shared" si="9"/>
        <v>2023</v>
      </c>
      <c r="D107" t="str">
        <f t="shared" si="10"/>
        <v>Oct</v>
      </c>
      <c r="E107">
        <f t="shared" si="11"/>
        <v>10</v>
      </c>
    </row>
    <row r="108" spans="1:5" x14ac:dyDescent="0.3">
      <c r="A108" t="s">
        <v>113</v>
      </c>
      <c r="B108" s="2">
        <v>1842567</v>
      </c>
      <c r="C108" t="str">
        <f t="shared" si="9"/>
        <v>2023</v>
      </c>
      <c r="D108" t="str">
        <f t="shared" si="10"/>
        <v>Nov</v>
      </c>
      <c r="E108">
        <f t="shared" si="11"/>
        <v>11</v>
      </c>
    </row>
    <row r="109" spans="1:5" x14ac:dyDescent="0.3">
      <c r="A109" t="s">
        <v>114</v>
      </c>
      <c r="B109" s="2">
        <v>2116252</v>
      </c>
      <c r="C109" t="str">
        <f t="shared" si="9"/>
        <v>2023</v>
      </c>
      <c r="D109" t="str">
        <f t="shared" si="10"/>
        <v>Dec</v>
      </c>
      <c r="E109">
        <f t="shared" si="11"/>
        <v>12</v>
      </c>
    </row>
    <row r="110" spans="1:5" x14ac:dyDescent="0.3">
      <c r="A110" t="s">
        <v>115</v>
      </c>
      <c r="B110" s="2">
        <v>1146451</v>
      </c>
      <c r="C110" t="str">
        <f t="shared" si="9"/>
        <v>2024</v>
      </c>
      <c r="D110" t="str">
        <f t="shared" si="10"/>
        <v>Jan</v>
      </c>
      <c r="E110">
        <f t="shared" si="11"/>
        <v>1</v>
      </c>
    </row>
    <row r="111" spans="1:5" x14ac:dyDescent="0.3">
      <c r="A111" t="s">
        <v>116</v>
      </c>
      <c r="B111" s="2">
        <v>1048858</v>
      </c>
      <c r="C111" t="str">
        <f t="shared" si="9"/>
        <v>2024</v>
      </c>
      <c r="D111" t="str">
        <f t="shared" si="10"/>
        <v>Feb</v>
      </c>
      <c r="E111">
        <f t="shared" si="11"/>
        <v>2</v>
      </c>
    </row>
    <row r="112" spans="1:5" x14ac:dyDescent="0.3">
      <c r="A112" t="s">
        <v>117</v>
      </c>
      <c r="B112" s="2">
        <v>1236525</v>
      </c>
      <c r="C112" t="str">
        <f t="shared" si="9"/>
        <v>2024</v>
      </c>
      <c r="D112" t="str">
        <f t="shared" si="10"/>
        <v>Mar</v>
      </c>
      <c r="E112">
        <f t="shared" si="11"/>
        <v>3</v>
      </c>
    </row>
    <row r="113" spans="1:5" x14ac:dyDescent="0.3">
      <c r="A113" t="s">
        <v>118</v>
      </c>
      <c r="B113" s="2">
        <v>1261634</v>
      </c>
      <c r="C113" t="str">
        <f t="shared" si="9"/>
        <v>2024</v>
      </c>
      <c r="D113" t="str">
        <f t="shared" si="10"/>
        <v>Apr</v>
      </c>
      <c r="E113">
        <f t="shared" si="11"/>
        <v>4</v>
      </c>
    </row>
    <row r="114" spans="1:5" x14ac:dyDescent="0.3">
      <c r="A114" t="s">
        <v>119</v>
      </c>
      <c r="B114" s="2">
        <v>1352008</v>
      </c>
      <c r="C114" t="str">
        <f t="shared" si="9"/>
        <v>2024</v>
      </c>
      <c r="D114" t="str">
        <f t="shared" si="10"/>
        <v>May</v>
      </c>
      <c r="E114">
        <f t="shared" si="11"/>
        <v>5</v>
      </c>
    </row>
    <row r="115" spans="1:5" x14ac:dyDescent="0.3">
      <c r="A115" t="s">
        <v>120</v>
      </c>
      <c r="B115" s="2">
        <v>1409527</v>
      </c>
      <c r="C115" t="str">
        <f t="shared" si="9"/>
        <v>2024</v>
      </c>
      <c r="D115" t="str">
        <f t="shared" si="10"/>
        <v>Jun</v>
      </c>
      <c r="E115">
        <f t="shared" si="11"/>
        <v>6</v>
      </c>
    </row>
    <row r="116" spans="1:5" x14ac:dyDescent="0.3">
      <c r="A116" t="s">
        <v>121</v>
      </c>
      <c r="B116" s="2">
        <v>1511610</v>
      </c>
      <c r="C116" t="str">
        <f t="shared" si="9"/>
        <v>2024</v>
      </c>
      <c r="D116" t="str">
        <f t="shared" si="10"/>
        <v>Jul</v>
      </c>
      <c r="E116">
        <f t="shared" si="11"/>
        <v>7</v>
      </c>
    </row>
    <row r="117" spans="1:5" x14ac:dyDescent="0.3">
      <c r="A117" t="s">
        <v>122</v>
      </c>
      <c r="B117" s="2">
        <v>1463728</v>
      </c>
      <c r="C117" t="str">
        <f t="shared" si="9"/>
        <v>2024</v>
      </c>
      <c r="D117" t="str">
        <f t="shared" si="10"/>
        <v>Aug</v>
      </c>
      <c r="E117">
        <f t="shared" si="11"/>
        <v>8</v>
      </c>
    </row>
    <row r="118" spans="1:5" x14ac:dyDescent="0.3">
      <c r="A118" t="s">
        <v>123</v>
      </c>
      <c r="B118" s="2">
        <v>1302022</v>
      </c>
      <c r="C118" t="str">
        <f t="shared" si="9"/>
        <v>2024</v>
      </c>
      <c r="D118" t="str">
        <f t="shared" si="10"/>
        <v>Sep</v>
      </c>
      <c r="E118">
        <f t="shared" si="11"/>
        <v>9</v>
      </c>
    </row>
    <row r="119" spans="1:5" x14ac:dyDescent="0.3">
      <c r="A119" t="s">
        <v>124</v>
      </c>
      <c r="B119" s="2">
        <v>1369704</v>
      </c>
      <c r="C119" t="str">
        <f t="shared" si="9"/>
        <v>2024</v>
      </c>
      <c r="D119" t="str">
        <f t="shared" si="10"/>
        <v>Oct</v>
      </c>
      <c r="E119">
        <f t="shared" si="11"/>
        <v>10</v>
      </c>
    </row>
    <row r="120" spans="1:5" x14ac:dyDescent="0.3">
      <c r="A120" t="s">
        <v>125</v>
      </c>
      <c r="B120" s="2">
        <v>1936010</v>
      </c>
      <c r="C120" t="str">
        <f t="shared" si="9"/>
        <v>2024</v>
      </c>
      <c r="D120" t="str">
        <f t="shared" si="10"/>
        <v>Nov</v>
      </c>
      <c r="E120">
        <f t="shared" si="11"/>
        <v>11</v>
      </c>
    </row>
    <row r="121" spans="1:5" x14ac:dyDescent="0.3">
      <c r="A121" t="s">
        <v>126</v>
      </c>
      <c r="B121" s="2">
        <v>2241237</v>
      </c>
      <c r="C121" t="str">
        <f t="shared" si="9"/>
        <v>2024</v>
      </c>
      <c r="D121" t="str">
        <f t="shared" si="10"/>
        <v>Dec</v>
      </c>
      <c r="E121">
        <f t="shared" si="11"/>
        <v>12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6333-FD07-46FA-A9D3-780D3529BEDC}">
  <dimension ref="A1:D28"/>
  <sheetViews>
    <sheetView workbookViewId="0">
      <selection activeCell="D22" sqref="D22"/>
    </sheetView>
  </sheetViews>
  <sheetFormatPr defaultRowHeight="14.4" x14ac:dyDescent="0.3"/>
  <cols>
    <col min="1" max="1" width="12.44140625" bestFit="1" customWidth="1"/>
    <col min="2" max="2" width="16.44140625" customWidth="1"/>
    <col min="3" max="3" width="13.6640625" bestFit="1" customWidth="1"/>
    <col min="4" max="4" width="16.109375" bestFit="1" customWidth="1"/>
    <col min="5" max="8" width="10" bestFit="1" customWidth="1"/>
    <col min="9" max="9" width="8" bestFit="1" customWidth="1"/>
    <col min="10" max="10" width="10" bestFit="1" customWidth="1"/>
    <col min="11" max="11" width="8" bestFit="1" customWidth="1"/>
    <col min="12" max="12" width="10" bestFit="1" customWidth="1"/>
    <col min="13" max="13" width="8" bestFit="1" customWidth="1"/>
    <col min="14" max="14" width="12" bestFit="1" customWidth="1"/>
  </cols>
  <sheetData>
    <row r="1" spans="1:4" x14ac:dyDescent="0.3">
      <c r="A1" s="3" t="s">
        <v>129</v>
      </c>
      <c r="B1" t="s">
        <v>144</v>
      </c>
      <c r="C1" t="s">
        <v>143</v>
      </c>
      <c r="D1" t="s">
        <v>146</v>
      </c>
    </row>
    <row r="2" spans="1:4" x14ac:dyDescent="0.3">
      <c r="A2" s="4" t="s">
        <v>136</v>
      </c>
      <c r="B2" s="2">
        <v>1001149.4</v>
      </c>
      <c r="C2" s="8">
        <v>6.6954152939909028E-2</v>
      </c>
      <c r="D2" s="5">
        <v>1</v>
      </c>
    </row>
    <row r="3" spans="1:4" x14ac:dyDescent="0.3">
      <c r="A3" s="4" t="s">
        <v>135</v>
      </c>
      <c r="B3" s="2">
        <v>867635.7</v>
      </c>
      <c r="C3" s="8">
        <v>5.8025119281822503E-2</v>
      </c>
      <c r="D3" s="5">
        <v>2</v>
      </c>
    </row>
    <row r="4" spans="1:4" x14ac:dyDescent="0.3">
      <c r="A4" s="4" t="s">
        <v>131</v>
      </c>
      <c r="B4" s="2">
        <v>1054926.8999999999</v>
      </c>
      <c r="C4" s="8">
        <v>7.0550646090407801E-2</v>
      </c>
      <c r="D4" s="5">
        <v>3</v>
      </c>
    </row>
    <row r="5" spans="1:4" x14ac:dyDescent="0.3">
      <c r="A5" s="4" t="s">
        <v>132</v>
      </c>
      <c r="B5" s="2">
        <v>1101630.1000000001</v>
      </c>
      <c r="C5" s="8">
        <v>7.3674029269365074E-2</v>
      </c>
      <c r="D5" s="5">
        <v>4</v>
      </c>
    </row>
    <row r="6" spans="1:4" x14ac:dyDescent="0.3">
      <c r="A6" s="4" t="s">
        <v>139</v>
      </c>
      <c r="B6" s="2">
        <v>1175445.7</v>
      </c>
      <c r="C6" s="8">
        <v>7.8610616128180696E-2</v>
      </c>
      <c r="D6" s="5">
        <v>5</v>
      </c>
    </row>
    <row r="7" spans="1:4" x14ac:dyDescent="0.3">
      <c r="A7" s="4" t="s">
        <v>138</v>
      </c>
      <c r="B7" s="2">
        <v>1193745.6000000001</v>
      </c>
      <c r="C7" s="8">
        <v>7.9834463741119424E-2</v>
      </c>
      <c r="D7" s="5">
        <v>6</v>
      </c>
    </row>
    <row r="8" spans="1:4" x14ac:dyDescent="0.3">
      <c r="A8" s="4" t="s">
        <v>137</v>
      </c>
      <c r="B8" s="2">
        <v>1304467.8999999999</v>
      </c>
      <c r="C8" s="8">
        <v>8.7239270464330249E-2</v>
      </c>
      <c r="D8" s="5">
        <v>7</v>
      </c>
    </row>
    <row r="9" spans="1:4" x14ac:dyDescent="0.3">
      <c r="A9" s="4" t="s">
        <v>133</v>
      </c>
      <c r="B9" s="2">
        <v>1282490</v>
      </c>
      <c r="C9" s="8">
        <v>8.5769448200142692E-2</v>
      </c>
      <c r="D9" s="5">
        <v>8</v>
      </c>
    </row>
    <row r="10" spans="1:4" x14ac:dyDescent="0.3">
      <c r="A10" s="4" t="s">
        <v>142</v>
      </c>
      <c r="B10" s="2">
        <v>1138206.7</v>
      </c>
      <c r="C10" s="8">
        <v>7.6120172942249334E-2</v>
      </c>
      <c r="D10" s="5">
        <v>9</v>
      </c>
    </row>
    <row r="11" spans="1:4" x14ac:dyDescent="0.3">
      <c r="A11" s="4" t="s">
        <v>141</v>
      </c>
      <c r="B11" s="2">
        <v>1228581</v>
      </c>
      <c r="C11" s="8">
        <v>8.2164160686773E-2</v>
      </c>
      <c r="D11" s="5">
        <v>10</v>
      </c>
    </row>
    <row r="12" spans="1:4" x14ac:dyDescent="0.3">
      <c r="A12" s="4" t="s">
        <v>140</v>
      </c>
      <c r="B12" s="2">
        <v>1670495.3</v>
      </c>
      <c r="C12" s="8">
        <v>0.11171818891526002</v>
      </c>
      <c r="D12" s="5">
        <v>11</v>
      </c>
    </row>
    <row r="13" spans="1:4" x14ac:dyDescent="0.3">
      <c r="A13" s="4" t="s">
        <v>134</v>
      </c>
      <c r="B13" s="2">
        <v>1933986</v>
      </c>
      <c r="C13" s="8">
        <v>0.12933973134044019</v>
      </c>
      <c r="D13" s="5">
        <v>12</v>
      </c>
    </row>
    <row r="14" spans="1:4" x14ac:dyDescent="0.3">
      <c r="A14" s="4" t="s">
        <v>130</v>
      </c>
      <c r="B14" s="2">
        <v>1246063.3583333334</v>
      </c>
      <c r="C14" s="8">
        <v>1</v>
      </c>
      <c r="D14" s="5">
        <v>1</v>
      </c>
    </row>
    <row r="15" spans="1:4" x14ac:dyDescent="0.3">
      <c r="A15" s="6" t="s">
        <v>129</v>
      </c>
      <c r="B15" s="6" t="s">
        <v>144</v>
      </c>
      <c r="C15" s="6" t="s">
        <v>143</v>
      </c>
    </row>
    <row r="16" spans="1:4" x14ac:dyDescent="0.3">
      <c r="A16" s="4" t="s">
        <v>136</v>
      </c>
      <c r="B16" s="2">
        <v>1001149.4</v>
      </c>
      <c r="C16" s="8">
        <v>6.6954152939909028E-2</v>
      </c>
    </row>
    <row r="17" spans="1:3" x14ac:dyDescent="0.3">
      <c r="A17" s="4" t="s">
        <v>135</v>
      </c>
      <c r="B17" s="2">
        <v>867635.7</v>
      </c>
      <c r="C17" s="8">
        <v>5.8025119281822503E-2</v>
      </c>
    </row>
    <row r="18" spans="1:3" x14ac:dyDescent="0.3">
      <c r="A18" s="4" t="s">
        <v>131</v>
      </c>
      <c r="B18" s="2">
        <v>1054926.8999999999</v>
      </c>
      <c r="C18" s="8">
        <v>7.0550646090407801E-2</v>
      </c>
    </row>
    <row r="19" spans="1:3" x14ac:dyDescent="0.3">
      <c r="A19" s="4" t="s">
        <v>132</v>
      </c>
      <c r="B19" s="2">
        <v>1101630.1000000001</v>
      </c>
      <c r="C19" s="8">
        <v>7.3674029269365074E-2</v>
      </c>
    </row>
    <row r="20" spans="1:3" x14ac:dyDescent="0.3">
      <c r="A20" s="4" t="s">
        <v>139</v>
      </c>
      <c r="B20" s="2">
        <v>1175445.7</v>
      </c>
      <c r="C20" s="8">
        <v>7.8610616128180696E-2</v>
      </c>
    </row>
    <row r="21" spans="1:3" x14ac:dyDescent="0.3">
      <c r="A21" s="4" t="s">
        <v>138</v>
      </c>
      <c r="B21" s="2">
        <v>1193745.6000000001</v>
      </c>
      <c r="C21" s="8">
        <v>7.9834463741119424E-2</v>
      </c>
    </row>
    <row r="22" spans="1:3" x14ac:dyDescent="0.3">
      <c r="A22" s="4" t="s">
        <v>137</v>
      </c>
      <c r="B22" s="2">
        <v>1304467.8999999999</v>
      </c>
      <c r="C22" s="8">
        <v>8.7239270464330249E-2</v>
      </c>
    </row>
    <row r="23" spans="1:3" x14ac:dyDescent="0.3">
      <c r="A23" s="4" t="s">
        <v>133</v>
      </c>
      <c r="B23" s="2">
        <v>1282490</v>
      </c>
      <c r="C23" s="8">
        <v>8.5769448200142692E-2</v>
      </c>
    </row>
    <row r="24" spans="1:3" x14ac:dyDescent="0.3">
      <c r="A24" s="4" t="s">
        <v>142</v>
      </c>
      <c r="B24" s="2">
        <v>1138206.7</v>
      </c>
      <c r="C24" s="8">
        <v>7.6120172942249334E-2</v>
      </c>
    </row>
    <row r="25" spans="1:3" x14ac:dyDescent="0.3">
      <c r="A25" s="4" t="s">
        <v>141</v>
      </c>
      <c r="B25" s="2">
        <v>1228581</v>
      </c>
      <c r="C25" s="8">
        <v>8.2164160686773E-2</v>
      </c>
    </row>
    <row r="26" spans="1:3" x14ac:dyDescent="0.3">
      <c r="A26" s="4" t="s">
        <v>140</v>
      </c>
      <c r="B26" s="2">
        <v>1670495.3</v>
      </c>
      <c r="C26" s="8">
        <v>0.11171818891526002</v>
      </c>
    </row>
    <row r="27" spans="1:3" x14ac:dyDescent="0.3">
      <c r="A27" s="4" t="s">
        <v>134</v>
      </c>
      <c r="B27" s="2">
        <v>1933986</v>
      </c>
      <c r="C27" s="8">
        <v>0.12933973134044019</v>
      </c>
    </row>
    <row r="28" spans="1:3" x14ac:dyDescent="0.3">
      <c r="A28" s="10" t="s">
        <v>130</v>
      </c>
      <c r="B28" s="11">
        <v>1246063.3583333334</v>
      </c>
      <c r="C28" s="9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</vt:lpstr>
      <vt:lpstr>countries</vt:lpstr>
      <vt:lpstr>countries_by_years</vt:lpstr>
      <vt:lpstr>quantity_by_country</vt:lpstr>
      <vt:lpstr>seasonality</vt:lpstr>
      <vt:lpstr>seasonality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Pasternak</dc:creator>
  <cp:lastModifiedBy>Kamila Pasternak</cp:lastModifiedBy>
  <dcterms:created xsi:type="dcterms:W3CDTF">2026-04-21T11:37:17Z</dcterms:created>
  <dcterms:modified xsi:type="dcterms:W3CDTF">2026-05-18T14:12:38Z</dcterms:modified>
</cp:coreProperties>
</file>