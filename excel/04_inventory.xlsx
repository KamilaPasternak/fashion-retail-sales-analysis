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past\Desktop\projekt - Retail Fashion\excel\"/>
    </mc:Choice>
  </mc:AlternateContent>
  <xr:revisionPtr revIDLastSave="0" documentId="13_ncr:1_{CD0673E7-F629-41F9-BD43-43DB2B49D53E}" xr6:coauthVersionLast="47" xr6:coauthVersionMax="47" xr10:uidLastSave="{00000000-0000-0000-0000-000000000000}"/>
  <bookViews>
    <workbookView xWindow="-108" yWindow="-108" windowWidth="23256" windowHeight="12456" xr2:uid="{CEAAC6EB-4545-435A-9753-1AAF4BB3A583}"/>
  </bookViews>
  <sheets>
    <sheet name="inventory" sheetId="2" r:id="rId1"/>
    <sheet name="overstock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5" i="2" l="1"/>
  <c r="H2" i="2"/>
  <c r="H3" i="2"/>
  <c r="H4" i="2"/>
  <c r="G4" i="2"/>
  <c r="G2" i="2"/>
  <c r="F2" i="2"/>
  <c r="F3" i="2"/>
  <c r="G3" i="2" s="1"/>
  <c r="F4" i="2"/>
</calcChain>
</file>

<file path=xl/sharedStrings.xml><?xml version="1.0" encoding="utf-8"?>
<sst xmlns="http://schemas.openxmlformats.org/spreadsheetml/2006/main" count="21" uniqueCount="16">
  <si>
    <t>country_clean</t>
  </si>
  <si>
    <t>total_products</t>
  </si>
  <si>
    <t>low_stock_only</t>
  </si>
  <si>
    <t>outdated_only</t>
  </si>
  <si>
    <t>both_issues</t>
  </si>
  <si>
    <t>Germany</t>
  </si>
  <si>
    <t>Czech Republic</t>
  </si>
  <si>
    <t>Poland</t>
  </si>
  <si>
    <t>valid_inventory</t>
  </si>
  <si>
    <t>total_issues</t>
  </si>
  <si>
    <t>dead_stock</t>
  </si>
  <si>
    <t>extreme_overstock</t>
  </si>
  <si>
    <t>overstock</t>
  </si>
  <si>
    <t>health</t>
  </si>
  <si>
    <t>%_of_total_issues</t>
  </si>
  <si>
    <t>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</si>
</sst>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9" fontId="0" fillId="0" borderId="0" xfId="1" applyFont="1"/>
    <xf numFmtId="0" fontId="0" fillId="0" borderId="0" xfId="0" applyAlignment="1">
      <alignment horizontal="right"/>
    </xf>
  </cellXfs>
  <cellStyles count="2">
    <cellStyle name="Normal" xfId="0" builtinId="0"/>
    <cellStyle name="Percent" xfId="1" builtinId="5"/>
  </cellStyles>
  <dxfs count="2">
    <dxf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38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Valid</a:t>
            </a:r>
            <a:r>
              <a:rPr lang="pl-PL" baseline="0"/>
              <a:t> inventory vs Issues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inventory!$A$2</c:f>
              <c:strCache>
                <c:ptCount val="1"/>
                <c:pt idx="0">
                  <c:v>Germany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29D3-4FA1-B40F-9413ED31F291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29D3-4FA1-B40F-9413ED31F291}"/>
              </c:ext>
            </c:extLst>
          </c:dPt>
          <c:dLbls>
            <c:dLbl>
              <c:idx val="0"/>
              <c:layout>
                <c:manualLayout>
                  <c:x val="0.20833333333333323"/>
                  <c:y val="0.10648148148148148"/>
                </c:manualLayout>
              </c:layout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9D3-4FA1-B40F-9413ED31F291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9D3-4FA1-B40F-9413ED31F29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square" lIns="38100" tIns="19050" rIns="38100" bIns="19050" anchor="ctr" anchorCtr="0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inventory!$F$1:$G$1</c:f>
              <c:strCache>
                <c:ptCount val="2"/>
                <c:pt idx="0">
                  <c:v>total_issues</c:v>
                </c:pt>
                <c:pt idx="1">
                  <c:v>valid_inventory</c:v>
                </c:pt>
              </c:strCache>
            </c:strRef>
          </c:cat>
          <c:val>
            <c:numRef>
              <c:f>inventory!$F$2:$G$2</c:f>
              <c:numCache>
                <c:formatCode>General</c:formatCode>
                <c:ptCount val="2"/>
                <c:pt idx="0">
                  <c:v>193</c:v>
                </c:pt>
                <c:pt idx="1">
                  <c:v>1007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9D3-4FA1-B40F-9413ED31F291}"/>
            </c:ext>
          </c:extLst>
        </c:ser>
        <c:ser>
          <c:idx val="1"/>
          <c:order val="1"/>
          <c:tx>
            <c:strRef>
              <c:f>inventory!$A$3</c:f>
              <c:strCache>
                <c:ptCount val="1"/>
                <c:pt idx="0">
                  <c:v>Czech Republic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29D3-4FA1-B40F-9413ED31F291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29D3-4FA1-B40F-9413ED31F291}"/>
              </c:ext>
            </c:extLst>
          </c:dPt>
          <c:dLbls>
            <c:dLbl>
              <c:idx val="0"/>
              <c:layout>
                <c:manualLayout>
                  <c:x val="0.2138888888888888"/>
                  <c:y val="4.6296296296296252E-2"/>
                </c:manualLayout>
              </c:layout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29D3-4FA1-B40F-9413ED31F291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29D3-4FA1-B40F-9413ED31F29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t" anchorCtr="0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inventory!$F$1:$G$1</c:f>
              <c:strCache>
                <c:ptCount val="2"/>
                <c:pt idx="0">
                  <c:v>total_issues</c:v>
                </c:pt>
                <c:pt idx="1">
                  <c:v>valid_inventory</c:v>
                </c:pt>
              </c:strCache>
            </c:strRef>
          </c:cat>
          <c:val>
            <c:numRef>
              <c:f>inventory!$F$3:$G$3</c:f>
              <c:numCache>
                <c:formatCode>General</c:formatCode>
                <c:ptCount val="2"/>
                <c:pt idx="0">
                  <c:v>199</c:v>
                </c:pt>
                <c:pt idx="1">
                  <c:v>1072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9D3-4FA1-B40F-9413ED31F291}"/>
            </c:ext>
          </c:extLst>
        </c:ser>
        <c:ser>
          <c:idx val="2"/>
          <c:order val="2"/>
          <c:tx>
            <c:strRef>
              <c:f>inventory!$A$4</c:f>
              <c:strCache>
                <c:ptCount val="1"/>
                <c:pt idx="0">
                  <c:v>Poland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29D3-4FA1-B40F-9413ED31F291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29D3-4FA1-B40F-9413ED31F291}"/>
              </c:ext>
            </c:extLst>
          </c:dPt>
          <c:dLbls>
            <c:dLbl>
              <c:idx val="0"/>
              <c:layout>
                <c:manualLayout>
                  <c:x val="8.8888888888888781E-2"/>
                  <c:y val="-2.3148148148148147E-2"/>
                </c:manualLayout>
              </c:layout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29D3-4FA1-B40F-9413ED31F291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9D3-4FA1-B40F-9413ED31F29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inventory!$F$1:$G$1</c:f>
              <c:strCache>
                <c:ptCount val="2"/>
                <c:pt idx="0">
                  <c:v>total_issues</c:v>
                </c:pt>
                <c:pt idx="1">
                  <c:v>valid_inventory</c:v>
                </c:pt>
              </c:strCache>
            </c:strRef>
          </c:cat>
          <c:val>
            <c:numRef>
              <c:f>inventory!$F$4:$G$4</c:f>
              <c:numCache>
                <c:formatCode>General</c:formatCode>
                <c:ptCount val="2"/>
                <c:pt idx="0">
                  <c:v>213</c:v>
                </c:pt>
                <c:pt idx="1">
                  <c:v>1057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9D3-4FA1-B40F-9413ED31F29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400" b="0" i="0" u="none" strike="noStrike" baseline="0"/>
              <a:t>Inventory Issues by Country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inventory!$C$1</c:f>
              <c:strCache>
                <c:ptCount val="1"/>
                <c:pt idx="0">
                  <c:v>low_stock_only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inventory!$A$2:$A$4</c:f>
              <c:strCache>
                <c:ptCount val="3"/>
                <c:pt idx="0">
                  <c:v>Germany</c:v>
                </c:pt>
                <c:pt idx="1">
                  <c:v>Czech Republic</c:v>
                </c:pt>
                <c:pt idx="2">
                  <c:v>Poland</c:v>
                </c:pt>
              </c:strCache>
            </c:strRef>
          </c:cat>
          <c:val>
            <c:numRef>
              <c:f>inventory!$C$2:$C$4</c:f>
              <c:numCache>
                <c:formatCode>General</c:formatCode>
                <c:ptCount val="3"/>
                <c:pt idx="0">
                  <c:v>85</c:v>
                </c:pt>
                <c:pt idx="1">
                  <c:v>98</c:v>
                </c:pt>
                <c:pt idx="2">
                  <c:v>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D17-4907-8616-A50B60140642}"/>
            </c:ext>
          </c:extLst>
        </c:ser>
        <c:ser>
          <c:idx val="1"/>
          <c:order val="1"/>
          <c:tx>
            <c:strRef>
              <c:f>inventory!$D$1</c:f>
              <c:strCache>
                <c:ptCount val="1"/>
                <c:pt idx="0">
                  <c:v>outdated_only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inventory!$D$2:$D$4</c:f>
              <c:numCache>
                <c:formatCode>General</c:formatCode>
                <c:ptCount val="3"/>
                <c:pt idx="0">
                  <c:v>103</c:v>
                </c:pt>
                <c:pt idx="1">
                  <c:v>93</c:v>
                </c:pt>
                <c:pt idx="2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D17-4907-8616-A50B60140642}"/>
            </c:ext>
          </c:extLst>
        </c:ser>
        <c:ser>
          <c:idx val="2"/>
          <c:order val="2"/>
          <c:tx>
            <c:strRef>
              <c:f>inventory!$E$1</c:f>
              <c:strCache>
                <c:ptCount val="1"/>
                <c:pt idx="0">
                  <c:v>both_issues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inventory!$E$2:$E$4</c:f>
              <c:numCache>
                <c:formatCode>General</c:formatCode>
                <c:ptCount val="3"/>
                <c:pt idx="0">
                  <c:v>5</c:v>
                </c:pt>
                <c:pt idx="1">
                  <c:v>8</c:v>
                </c:pt>
                <c:pt idx="2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D17-4907-8616-A50B601406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38121104"/>
        <c:axId val="938120144"/>
      </c:barChart>
      <c:catAx>
        <c:axId val="938121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938120144"/>
        <c:crosses val="autoZero"/>
        <c:auto val="1"/>
        <c:lblAlgn val="ctr"/>
        <c:lblOffset val="100"/>
        <c:noMultiLvlLbl val="0"/>
      </c:catAx>
      <c:valAx>
        <c:axId val="938120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938121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213360</xdr:colOff>
      <xdr:row>5</xdr:row>
      <xdr:rowOff>137160</xdr:rowOff>
    </xdr:from>
    <xdr:to>
      <xdr:col>4</xdr:col>
      <xdr:colOff>708660</xdr:colOff>
      <xdr:row>20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183CF1-230A-F72D-2C34-B8564AF46A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167640</xdr:colOff>
      <xdr:row>5</xdr:row>
      <xdr:rowOff>160020</xdr:rowOff>
    </xdr:from>
    <xdr:to>
      <xdr:col>11</xdr:col>
      <xdr:colOff>571500</xdr:colOff>
      <xdr:row>20</xdr:row>
      <xdr:rowOff>160020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D277142-8C52-2D0B-7003-845E3C94CD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9841C7-0574-4898-81EB-4D90E6525F17}" name="Table1" displayName="Table1" ref="A1:H5" totalsRowCount="1">
  <autoFilter ref="A1:H4" xr:uid="{1F9841C7-0574-4898-81EB-4D90E6525F17}"/>
  <tableColumns count="8">
    <tableColumn id="1" xr3:uid="{2C696F0E-A0AB-4463-A044-4DF00C7BCC15}" name="country_clean"/>
    <tableColumn id="2" xr3:uid="{88FB0208-D51A-4CD4-AE46-44754B5BAD33}" name="total_products"/>
    <tableColumn id="3" xr3:uid="{120CE4BA-B755-45A5-973E-02EC3A87EC62}" name="low_stock_only"/>
    <tableColumn id="4" xr3:uid="{358E612C-6F9C-4D08-B84A-761F55926AC3}" name="outdated_only"/>
    <tableColumn id="5" xr3:uid="{63D00F73-8A21-470B-AC30-EB5ED12C539F}" name="both_issues"/>
    <tableColumn id="6" xr3:uid="{63C93124-4E2E-43BD-ABF9-0F1C966ACBBD}" name="total_issues">
      <calculatedColumnFormula>SUM(C2:E2)</calculatedColumnFormula>
    </tableColumn>
    <tableColumn id="7" xr3:uid="{FC5385D7-87B0-41AE-A72E-5C739035BE64}" name="valid_inventory" totalsRowLabel="avg" totalsRowDxfId="0">
      <calculatedColumnFormula>B2-F2</calculatedColumnFormula>
    </tableColumn>
    <tableColumn id="8" xr3:uid="{3DFBAA61-2E9E-4425-8C62-617AB2E9557C}" name="%_of_total_issues" totalsRowFunction="custom" totalsRowDxfId="1" dataCellStyle="Percent" totalsRowCellStyle="Percent">
      <calculatedColumnFormula>Table1[[#This Row],[total_issues]]/Table1[[#This Row],[total_products]]</calculatedColumnFormula>
      <totalsRowFormula>AVERAGE(Table1[%_of_total_issues])</totalsRow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539746-9E3D-42BF-A5A2-CBA188FD357D}" name="Table2" displayName="Table2" ref="A1:F4" totalsRowShown="0">
  <autoFilter ref="A1:F4" xr:uid="{00539746-9E3D-42BF-A5A2-CBA188FD357D}"/>
  <tableColumns count="6">
    <tableColumn id="1" xr3:uid="{C4F2FE49-48DA-4D79-B989-D61BF45341AD}" name="country_clean"/>
    <tableColumn id="2" xr3:uid="{F8412572-D55D-40E8-9667-A869432520F0}" name="total_products"/>
    <tableColumn id="3" xr3:uid="{DF3E84A0-BCF4-4AFB-8EF4-56589EA9E571}" name="dead_stock"/>
    <tableColumn id="4" xr3:uid="{C46641BA-879A-4290-B761-76D0DEBA20E3}" name="extreme_overstock"/>
    <tableColumn id="5" xr3:uid="{E4B7AF91-62D8-4B34-90AF-ACEFBDBC50D0}" name="overstock"/>
    <tableColumn id="6" xr3:uid="{11F11DD0-974E-4968-B6A0-4B0C96BAF4B9}" name="healt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77AB2-99EC-4F2B-8D9E-8F40833C34A6}">
  <dimension ref="A1:H5"/>
  <sheetViews>
    <sheetView tabSelected="1" workbookViewId="0"/>
  </sheetViews>
  <sheetFormatPr defaultRowHeight="14.4" x14ac:dyDescent="0.3"/>
  <cols>
    <col min="1" max="1" width="14.44140625" customWidth="1"/>
    <col min="2" max="2" width="15" customWidth="1"/>
    <col min="3" max="3" width="15.33203125" customWidth="1"/>
    <col min="4" max="4" width="14.6640625" customWidth="1"/>
    <col min="5" max="5" width="12.6640625" customWidth="1"/>
    <col min="6" max="6" width="12.77734375" customWidth="1"/>
    <col min="7" max="7" width="15.441406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9</v>
      </c>
      <c r="G1" t="s">
        <v>8</v>
      </c>
      <c r="H1" t="s">
        <v>14</v>
      </c>
    </row>
    <row r="2" spans="1:8" x14ac:dyDescent="0.3">
      <c r="A2" t="s">
        <v>5</v>
      </c>
      <c r="B2">
        <v>1200</v>
      </c>
      <c r="C2">
        <v>85</v>
      </c>
      <c r="D2">
        <v>103</v>
      </c>
      <c r="E2">
        <v>5</v>
      </c>
      <c r="F2">
        <f>SUM(C2:E2)</f>
        <v>193</v>
      </c>
      <c r="G2">
        <f>B2-F2</f>
        <v>1007</v>
      </c>
      <c r="H2" s="1">
        <f>Table1[[#This Row],[total_issues]]/Table1[[#This Row],[total_products]]</f>
        <v>0.16083333333333333</v>
      </c>
    </row>
    <row r="3" spans="1:8" x14ac:dyDescent="0.3">
      <c r="A3" t="s">
        <v>6</v>
      </c>
      <c r="B3">
        <v>1271</v>
      </c>
      <c r="C3">
        <v>98</v>
      </c>
      <c r="D3">
        <v>93</v>
      </c>
      <c r="E3">
        <v>8</v>
      </c>
      <c r="F3">
        <f t="shared" ref="F3:F4" si="0">SUM(C3:E3)</f>
        <v>199</v>
      </c>
      <c r="G3">
        <f t="shared" ref="G3:G4" si="1">B3-F3</f>
        <v>1072</v>
      </c>
      <c r="H3" s="1">
        <f>Table1[[#This Row],[total_issues]]/Table1[[#This Row],[total_products]]</f>
        <v>0.15656963021243114</v>
      </c>
    </row>
    <row r="4" spans="1:8" x14ac:dyDescent="0.3">
      <c r="A4" t="s">
        <v>7</v>
      </c>
      <c r="B4">
        <v>1270</v>
      </c>
      <c r="C4">
        <v>111</v>
      </c>
      <c r="D4">
        <v>90</v>
      </c>
      <c r="E4">
        <v>12</v>
      </c>
      <c r="F4">
        <f t="shared" si="0"/>
        <v>213</v>
      </c>
      <c r="G4">
        <f t="shared" si="1"/>
        <v>1057</v>
      </c>
      <c r="H4" s="1">
        <f>Table1[[#This Row],[total_issues]]/Table1[[#This Row],[total_products]]</f>
        <v>0.16771653543307086</v>
      </c>
    </row>
    <row r="5" spans="1:8" x14ac:dyDescent="0.3">
      <c r="G5" s="2" t="s">
        <v>15</v>
      </c>
      <c r="H5" s="1">
        <f>AVERAGE(Table1[%_of_total_issues])</f>
        <v>0.16170649965961179</v>
      </c>
    </row>
  </sheetData>
  <pageMargins left="0.7" right="0.7" top="0.75" bottom="0.75" header="0.3" footer="0.3"/>
  <ignoredErrors>
    <ignoredError sqref="F2:F4" formulaRange="1"/>
  </ignoredErrors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FC5B9-027A-4B26-8D9E-C0EDB35D2323}">
  <dimension ref="A1:F4"/>
  <sheetViews>
    <sheetView workbookViewId="0">
      <selection activeCell="F4" sqref="A1:F4"/>
    </sheetView>
  </sheetViews>
  <sheetFormatPr defaultRowHeight="14.4" x14ac:dyDescent="0.3"/>
  <cols>
    <col min="1" max="1" width="14.44140625" customWidth="1"/>
    <col min="2" max="2" width="15" customWidth="1"/>
    <col min="3" max="3" width="12.44140625" customWidth="1"/>
    <col min="4" max="4" width="18.6640625" customWidth="1"/>
    <col min="5" max="5" width="11" customWidth="1"/>
  </cols>
  <sheetData>
    <row r="1" spans="1:6" x14ac:dyDescent="0.3">
      <c r="A1" t="s">
        <v>0</v>
      </c>
      <c r="B1" t="s">
        <v>1</v>
      </c>
      <c r="C1" t="s">
        <v>10</v>
      </c>
      <c r="D1" t="s">
        <v>11</v>
      </c>
      <c r="E1" t="s">
        <v>12</v>
      </c>
      <c r="F1" t="s">
        <v>13</v>
      </c>
    </row>
    <row r="2" spans="1:6" x14ac:dyDescent="0.3">
      <c r="A2" t="s">
        <v>5</v>
      </c>
      <c r="B2">
        <v>1200</v>
      </c>
      <c r="C2">
        <v>648</v>
      </c>
      <c r="D2">
        <v>232</v>
      </c>
      <c r="E2">
        <v>159</v>
      </c>
      <c r="F2">
        <v>161</v>
      </c>
    </row>
    <row r="3" spans="1:6" x14ac:dyDescent="0.3">
      <c r="A3" t="s">
        <v>6</v>
      </c>
      <c r="B3">
        <v>1271</v>
      </c>
      <c r="C3">
        <v>649</v>
      </c>
      <c r="D3">
        <v>238</v>
      </c>
      <c r="E3">
        <v>198</v>
      </c>
      <c r="F3">
        <v>186</v>
      </c>
    </row>
    <row r="4" spans="1:6" x14ac:dyDescent="0.3">
      <c r="A4" t="s">
        <v>7</v>
      </c>
      <c r="B4">
        <v>1270</v>
      </c>
      <c r="C4">
        <v>666</v>
      </c>
      <c r="D4">
        <v>245</v>
      </c>
      <c r="E4">
        <v>180</v>
      </c>
      <c r="F4">
        <v>179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inventory</vt:lpstr>
      <vt:lpstr>overstock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Kamila Pasternak</dc:creator>
  <cp:lastModifiedBy>Kamila Pasternak</cp:lastModifiedBy>
  <dcterms:created xsi:type="dcterms:W3CDTF">2026-04-21T12:42:06Z</dcterms:created>
  <dcterms:modified xsi:type="dcterms:W3CDTF">2026-05-19T14:45:39Z</dcterms:modified>
</cp:coreProperties>
</file>